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Voucher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Document Ledger (WP1)" sheetId="3" state="visible" r:id="rId3"/>
    <sheet xmlns:r="http://schemas.openxmlformats.org/officeDocument/2006/relationships" name="Bank Verification (WP2)" sheetId="4" state="visible" r:id="rId4"/>
    <sheet xmlns:r="http://schemas.openxmlformats.org/officeDocument/2006/relationships" name="Adjusting Entries" sheetId="5" state="visible" r:id="rId5"/>
    <sheet xmlns:r="http://schemas.openxmlformats.org/officeDocument/2006/relationships" name="Next Session Checklist" sheetId="6" state="visible" r:id="rId6"/>
    <sheet xmlns:r="http://schemas.openxmlformats.org/officeDocument/2006/relationships" name="Depreciation Schedule" sheetId="7" state="visible" r:id="rId7"/>
    <sheet xmlns:r="http://schemas.openxmlformats.org/officeDocument/2006/relationships" name="Prepaid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4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BBCC"/>
      <sz val="9"/>
    </font>
    <font>
      <name val="Arial"/>
      <color rgb="007A9BB5"/>
      <sz val="8"/>
    </font>
    <font>
      <name val="Arial"/>
      <b val="1"/>
      <color rgb="00FFFFFF"/>
      <sz val="9"/>
    </font>
    <font>
      <name val="Arial"/>
      <b val="1"/>
      <color rgb="001A56DB"/>
      <sz val="9"/>
    </font>
    <font>
      <name val="Arial"/>
      <i val="1"/>
      <color rgb="009AAABB"/>
      <sz val="8"/>
    </font>
    <font>
      <name val="Arial"/>
      <color rgb="002E4057"/>
      <sz val="9"/>
    </font>
    <font>
      <name val="Arial"/>
      <color rgb="001F2D3D"/>
      <sz val="9"/>
    </font>
    <font>
      <name val="Arial"/>
      <i val="1"/>
      <color rgb="002E4057"/>
      <sz val="9"/>
    </font>
    <font>
      <name val="Arial"/>
      <color rgb="00C8D4DC"/>
      <sz val="9"/>
    </font>
    <font>
      <name val="Arial"/>
      <b val="1"/>
      <color rgb="001A56DB"/>
      <sz val="8"/>
    </font>
    <font>
      <name val="Arial"/>
      <i val="1"/>
      <color rgb="00777777"/>
      <sz val="9"/>
    </font>
    <font>
      <name val="Arial"/>
      <b val="1"/>
      <color rgb="00991B1B"/>
      <sz val="9"/>
    </font>
    <font>
      <name val="Arial"/>
      <b val="1"/>
      <color rgb="00B45309"/>
      <sz val="8"/>
    </font>
    <font>
      <name val="Arial"/>
      <b val="1"/>
      <color rgb="000F766E"/>
      <sz val="8"/>
    </font>
    <font>
      <name val="Arial"/>
      <b val="1"/>
      <color rgb="005B21B6"/>
      <sz val="8"/>
    </font>
    <font>
      <name val="Arial"/>
      <b val="1"/>
      <color rgb="00166534"/>
      <sz val="8"/>
    </font>
    <font>
      <name val="Arial"/>
      <b val="1"/>
      <color rgb="00FFFFFF"/>
      <sz val="10"/>
    </font>
    <font>
      <name val="Arial"/>
      <b val="1"/>
      <color rgb="0093C5FD"/>
      <sz val="10"/>
    </font>
    <font>
      <name val="Arial"/>
      <b val="1"/>
      <color rgb="00FCA5A5"/>
      <sz val="10"/>
    </font>
    <font>
      <name val="Arial"/>
      <b val="1"/>
      <color rgb="00166534"/>
      <sz val="9"/>
    </font>
    <font>
      <name val="Arial"/>
      <b val="1"/>
      <color rgb="00166534"/>
      <sz val="10"/>
    </font>
    <font>
      <name val="Arial"/>
      <b val="1"/>
      <color rgb="00FFFFFF"/>
      <sz val="13"/>
    </font>
    <font>
      <name val="Arial"/>
      <color rgb="001A56DB"/>
      <sz val="9"/>
    </font>
    <font>
      <name val="Arial"/>
      <color rgb="00991B1B"/>
      <sz val="9"/>
    </font>
    <font>
      <name val="Arial"/>
      <b val="1"/>
      <color rgb="005B21B6"/>
      <sz val="9"/>
    </font>
    <font>
      <name val="Arial"/>
      <b val="1"/>
      <color rgb="000F766E"/>
      <sz val="9"/>
    </font>
    <font>
      <name val="Arial"/>
      <b val="1"/>
      <color rgb="00B45309"/>
      <sz val="9"/>
    </font>
    <font>
      <name val="Arial"/>
      <i val="1"/>
      <color rgb="002E4057"/>
      <sz val="8"/>
    </font>
    <font>
      <name val="Arial"/>
      <b val="1"/>
      <color rgb="00C2410C"/>
      <sz val="8"/>
    </font>
    <font>
      <name val="Arial"/>
      <b val="1"/>
      <color rgb="002E4057"/>
      <sz val="8"/>
    </font>
    <font>
      <name val="Arial"/>
      <color rgb="002E4057"/>
      <sz val="8"/>
    </font>
    <font>
      <name val="Arial"/>
      <b val="1"/>
      <color rgb="001F2D3D"/>
      <sz val="9"/>
    </font>
    <font>
      <name val="Arial"/>
      <b val="1"/>
      <sz val="9"/>
    </font>
    <font>
      <name val="Arial"/>
      <i val="1"/>
      <color rgb="001A56DB"/>
      <sz val="8"/>
    </font>
    <font>
      <name val="Arial"/>
      <i val="1"/>
      <color rgb="00991B1B"/>
      <sz val="8"/>
    </font>
    <font>
      <name val="Arial"/>
      <sz val="11"/>
    </font>
    <font>
      <name val="Arial"/>
      <b val="1"/>
      <color rgb="00991B1B"/>
      <sz val="8"/>
    </font>
    <font>
      <name val="Arial"/>
      <b val="1"/>
      <color rgb="002E4057"/>
      <sz val="9"/>
    </font>
    <font>
      <name val="Arial"/>
      <b val="1"/>
      <color rgb="000000FF"/>
      <sz val="9"/>
    </font>
    <font>
      <name val="Arial"/>
      <color rgb="00166534"/>
      <sz val="9"/>
    </font>
    <font>
      <name val="Arial"/>
      <b val="1"/>
      <color rgb="00C2410C"/>
      <sz val="9"/>
    </font>
  </fonts>
  <fills count="1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E4057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5F7F9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EDF0F3"/>
      </patternFill>
    </fill>
    <fill>
      <patternFill patternType="solid">
        <fgColor rgb="000F766E"/>
      </patternFill>
    </fill>
    <fill>
      <patternFill patternType="solid">
        <fgColor rgb="00FFFF00"/>
      </patternFill>
    </fill>
    <fill>
      <patternFill patternType="solid">
        <fgColor rgb="00C2410C"/>
      </patternFill>
    </fill>
  </fills>
  <borders count="7">
    <border>
      <left/>
      <right/>
      <top/>
      <bottom/>
      <diagonal/>
    </border>
    <border>
      <left style="thin">
        <color rgb="00C8D4DC"/>
      </left>
      <right style="thin">
        <color rgb="00C8D4DC"/>
      </right>
      <top style="thin">
        <color rgb="00C8D4DC"/>
      </top>
      <bottom style="thin">
        <color rgb="00C8D4DC"/>
      </bottom>
    </border>
    <border>
      <bottom style="medium">
        <color rgb="002E4057"/>
      </bottom>
    </border>
    <border>
      <left/>
      <right/>
      <top style="thin">
        <color rgb="00C8D4DC"/>
      </top>
      <bottom/>
      <diagonal/>
    </border>
    <border>
      <left/>
      <right style="thin">
        <color rgb="00C8D4DC"/>
      </right>
      <top style="thin">
        <color rgb="00C8D4DC"/>
      </top>
      <bottom/>
      <diagonal/>
    </border>
    <border>
      <left/>
      <right/>
      <top style="thin">
        <color rgb="00C8D4DC"/>
      </top>
      <bottom style="thin">
        <color rgb="00C8D4DC"/>
      </bottom>
      <diagonal/>
    </border>
    <border>
      <left/>
      <right style="thin">
        <color rgb="00C8D4DC"/>
      </right>
      <top style="thin">
        <color rgb="00C8D4DC"/>
      </top>
      <bottom style="thin">
        <color rgb="00C8D4DC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" fontId="19" fillId="3" borderId="1" applyAlignment="1" pivotButton="0" quotePrefix="0" xfId="0">
      <alignment horizontal="right" vertical="center"/>
    </xf>
    <xf numFmtId="4" fontId="20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21" fillId="10" borderId="0" applyAlignment="1" pivotButton="0" quotePrefix="0" xfId="0">
      <alignment horizontal="right" vertical="center"/>
    </xf>
    <xf numFmtId="164" fontId="22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23" fillId="2" borderId="0" applyAlignment="1" pivotButton="0" quotePrefix="0" xfId="0">
      <alignment horizontal="left" vertical="center"/>
    </xf>
    <xf numFmtId="164" fontId="24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24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25" fillId="6" borderId="1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164" fontId="25" fillId="5" borderId="1" applyAlignment="1" pivotButton="0" quotePrefix="0" xfId="0">
      <alignment horizontal="right" vertical="center"/>
    </xf>
    <xf numFmtId="0" fontId="21" fillId="10" borderId="2" applyAlignment="1" pivotButton="0" quotePrefix="0" xfId="0">
      <alignment horizontal="left" vertical="center"/>
    </xf>
    <xf numFmtId="0" fontId="26" fillId="9" borderId="2" applyAlignment="1" pivotButton="0" quotePrefix="0" xfId="0">
      <alignment horizontal="left" vertical="center"/>
    </xf>
    <xf numFmtId="0" fontId="27" fillId="8" borderId="2" applyAlignment="1" pivotButton="0" quotePrefix="0" xfId="0">
      <alignment horizontal="left" vertical="center"/>
    </xf>
    <xf numFmtId="0" fontId="28" fillId="7" borderId="2" applyAlignment="1" pivotButton="0" quotePrefix="0" xfId="0">
      <alignment horizontal="left" vertical="center"/>
    </xf>
    <xf numFmtId="4" fontId="21" fillId="5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left" vertical="center"/>
    </xf>
    <xf numFmtId="4" fontId="21" fillId="6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left" vertical="center"/>
    </xf>
    <xf numFmtId="0" fontId="30" fillId="12" borderId="1" applyAlignment="1" pivotButton="0" quotePrefix="0" xfId="0">
      <alignment horizontal="center" vertical="center"/>
    </xf>
    <xf numFmtId="4" fontId="13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/>
    </xf>
    <xf numFmtId="4" fontId="13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31" fillId="1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left" vertical="center"/>
    </xf>
    <xf numFmtId="0" fontId="33" fillId="6" borderId="1" applyAlignment="1" pivotButton="0" quotePrefix="0" xfId="0">
      <alignment horizontal="left" vertical="center"/>
    </xf>
    <xf numFmtId="0" fontId="32" fillId="6" borderId="1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4" fontId="34" fillId="0" borderId="0" applyAlignment="1" pivotButton="0" quotePrefix="0" xfId="0">
      <alignment horizontal="right" vertical="center"/>
    </xf>
    <xf numFmtId="0" fontId="23" fillId="14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35" fillId="5" borderId="1" applyAlignment="1" pivotButton="0" quotePrefix="0" xfId="0">
      <alignment horizontal="left" vertical="center"/>
    </xf>
    <xf numFmtId="0" fontId="36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35" fillId="6" borderId="1" applyAlignment="1" pivotButton="0" quotePrefix="0" xfId="0">
      <alignment horizontal="left" vertical="center"/>
    </xf>
    <xf numFmtId="0" fontId="36" fillId="6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right" vertical="center"/>
    </xf>
    <xf numFmtId="0" fontId="3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39" fillId="13" borderId="2" applyAlignment="1" pivotButton="0" quotePrefix="0" xfId="0">
      <alignment horizontal="left" vertical="center"/>
    </xf>
    <xf numFmtId="0" fontId="28" fillId="7" borderId="0" applyAlignment="1" pivotButton="0" quotePrefix="0" xfId="0">
      <alignment horizontal="left" vertical="center"/>
    </xf>
    <xf numFmtId="4" fontId="40" fillId="15" borderId="1" applyAlignment="1" pivotButton="0" quotePrefix="0" xfId="0">
      <alignment horizontal="right" vertical="center"/>
    </xf>
    <xf numFmtId="0" fontId="40" fillId="15" borderId="1" applyAlignment="1" pivotButton="0" quotePrefix="0" xfId="0">
      <alignment horizontal="center" vertical="center"/>
    </xf>
    <xf numFmtId="4" fontId="33" fillId="5" borderId="1" applyAlignment="1" pivotButton="0" quotePrefix="0" xfId="0">
      <alignment horizontal="right" vertical="center"/>
    </xf>
    <xf numFmtId="4" fontId="41" fillId="10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9" fillId="13" borderId="0" applyAlignment="1" pivotButton="0" quotePrefix="0" xfId="0">
      <alignment horizontal="left" vertical="center"/>
    </xf>
    <xf numFmtId="0" fontId="23" fillId="16" borderId="0" applyAlignment="1" pivotButton="0" quotePrefix="0" xfId="0">
      <alignment horizontal="left" vertical="center"/>
    </xf>
    <xf numFmtId="0" fontId="42" fillId="12" borderId="2" applyAlignment="1" pivotButton="0" quotePrefix="0" xfId="0">
      <alignment horizontal="left" vertical="center"/>
    </xf>
    <xf numFmtId="4" fontId="34" fillId="5" borderId="1" applyAlignment="1" pivotButton="0" quotePrefix="0" xfId="0">
      <alignment horizontal="right" vertical="center"/>
    </xf>
    <xf numFmtId="4" fontId="4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10" customWidth="1" min="4" max="4"/>
    <col width="28" customWidth="1" min="5" max="5"/>
    <col width="14" customWidth="1" min="6" max="6"/>
    <col width="14" customWidth="1" min="7" max="7"/>
    <col width="10" customWidth="1" min="8" max="8"/>
  </cols>
  <sheetData>
    <row r="1" ht="22" customHeight="1">
      <c r="A1" s="1" t="inlineStr">
        <is>
          <t>JOURNAL VOUCHER — JV-2025-01</t>
        </is>
      </c>
    </row>
    <row r="2" ht="6" customHeight="1"/>
    <row r="3">
      <c r="A3" s="2" t="inlineStr">
        <is>
          <t>The Suburban Food Sdn Bhd  |  MacroByte Bookkeeping</t>
        </is>
      </c>
      <c r="E3" s="3" t="n"/>
      <c r="F3" s="3" t="n"/>
      <c r="G3" s="3" t="n"/>
      <c r="H3" s="3" t="n"/>
    </row>
    <row r="4">
      <c r="A4" s="4" t="inlineStr">
        <is>
          <t>Period: January 2025  |  Account: CIMB 8600-XXXX  |  Lines: 35  |  Balanced: ✓ Yes</t>
        </is>
      </c>
    </row>
    <row r="5" ht="4" customHeight="1">
      <c r="A5" s="3" t="n"/>
    </row>
    <row r="6">
      <c r="A6" s="5" t="inlineStr">
        <is>
          <t>#</t>
        </is>
      </c>
      <c r="B6" s="5" t="inlineStr">
        <is>
          <t>Date</t>
        </is>
      </c>
      <c r="C6" s="5" t="inlineStr">
        <is>
          <t>Description</t>
        </is>
      </c>
      <c r="D6" s="5" t="inlineStr">
        <is>
          <t>GL Code</t>
        </is>
      </c>
      <c r="E6" s="5" t="inlineStr">
        <is>
          <t>Account Name</t>
        </is>
      </c>
      <c r="F6" s="5" t="inlineStr">
        <is>
          <t>Debit (RM)</t>
        </is>
      </c>
      <c r="G6" s="5" t="inlineStr">
        <is>
          <t>Credit (RM)</t>
        </is>
      </c>
      <c r="H6" s="5" t="inlineStr">
        <is>
          <t>Source</t>
        </is>
      </c>
    </row>
    <row r="7" ht="14" customHeight="1">
      <c r="A7" s="6" t="inlineStr">
        <is>
          <t>REVENUE</t>
        </is>
      </c>
    </row>
    <row r="8" ht="14" customHeight="1">
      <c r="A8" s="7" t="inlineStr">
        <is>
          <t>001</t>
        </is>
      </c>
      <c r="B8" s="8" t="inlineStr">
        <is>
          <t>03 Jan</t>
        </is>
      </c>
      <c r="C8" s="9" t="inlineStr">
        <is>
          <t>Maya Food Supply — sales receipt</t>
        </is>
      </c>
      <c r="D8" s="10" t="inlineStr">
        <is>
          <t>1020</t>
        </is>
      </c>
      <c r="E8" s="9" t="inlineStr">
        <is>
          <t>CIMB Current Account</t>
        </is>
      </c>
      <c r="F8" s="11" t="n">
        <v>12500</v>
      </c>
      <c r="G8" s="12" t="n"/>
      <c r="H8" s="13" t="inlineStr">
        <is>
          <t>Doc</t>
        </is>
      </c>
    </row>
    <row r="9" ht="14" customHeight="1">
      <c r="A9" s="14" t="inlineStr">
        <is>
          <t>002</t>
        </is>
      </c>
      <c r="B9" s="15" t="inlineStr">
        <is>
          <t>03 Jan</t>
        </is>
      </c>
      <c r="C9" s="16" t="inlineStr">
        <is>
          <t xml:space="preserve">  ↳ Sales Revenue</t>
        </is>
      </c>
      <c r="D9" s="17" t="inlineStr">
        <is>
          <t>4100</t>
        </is>
      </c>
      <c r="E9" s="18" t="inlineStr">
        <is>
          <t>Sales Revenue</t>
        </is>
      </c>
      <c r="F9" s="19" t="n"/>
      <c r="G9" s="20" t="n">
        <v>12500</v>
      </c>
      <c r="H9" s="13" t="inlineStr">
        <is>
          <t>Doc</t>
        </is>
      </c>
    </row>
    <row r="10" ht="14" customHeight="1">
      <c r="A10" s="7" t="inlineStr">
        <is>
          <t>003</t>
        </is>
      </c>
      <c r="B10" s="8" t="inlineStr">
        <is>
          <t>20 Jan</t>
        </is>
      </c>
      <c r="C10" s="9" t="inlineStr">
        <is>
          <t>Maya Food Supply — second payment</t>
        </is>
      </c>
      <c r="D10" s="10" t="inlineStr">
        <is>
          <t>1020</t>
        </is>
      </c>
      <c r="E10" s="9" t="inlineStr">
        <is>
          <t>CIMB Current Account</t>
        </is>
      </c>
      <c r="F10" s="11" t="n">
        <v>8200</v>
      </c>
      <c r="G10" s="12" t="n"/>
      <c r="H10" s="13" t="inlineStr">
        <is>
          <t>Doc</t>
        </is>
      </c>
    </row>
    <row r="11" ht="14" customHeight="1">
      <c r="A11" s="14" t="inlineStr">
        <is>
          <t>004</t>
        </is>
      </c>
      <c r="B11" s="15" t="inlineStr">
        <is>
          <t>20 Jan</t>
        </is>
      </c>
      <c r="C11" s="16" t="inlineStr">
        <is>
          <t xml:space="preserve">  ↳ Sales Revenue</t>
        </is>
      </c>
      <c r="D11" s="17" t="inlineStr">
        <is>
          <t>4100</t>
        </is>
      </c>
      <c r="E11" s="18" t="inlineStr">
        <is>
          <t>Sales Revenue</t>
        </is>
      </c>
      <c r="F11" s="19" t="n"/>
      <c r="G11" s="20" t="n">
        <v>8200</v>
      </c>
      <c r="H11" s="13" t="inlineStr">
        <is>
          <t>Doc</t>
        </is>
      </c>
    </row>
    <row r="12" ht="14" customHeight="1">
      <c r="A12" s="7" t="inlineStr">
        <is>
          <t>005</t>
        </is>
      </c>
      <c r="B12" s="8" t="inlineStr">
        <is>
          <t>12 Jan</t>
        </is>
      </c>
      <c r="C12" s="9" t="inlineStr">
        <is>
          <t>Grab Food W2 settlement</t>
        </is>
      </c>
      <c r="D12" s="10" t="inlineStr">
        <is>
          <t>1020</t>
        </is>
      </c>
      <c r="E12" s="9" t="inlineStr">
        <is>
          <t>CIMB Current Account</t>
        </is>
      </c>
      <c r="F12" s="11" t="n">
        <v>6840</v>
      </c>
      <c r="G12" s="12" t="n"/>
      <c r="H12" s="13" t="inlineStr">
        <is>
          <t>Doc</t>
        </is>
      </c>
    </row>
    <row r="13" ht="14" customHeight="1">
      <c r="A13" s="14" t="inlineStr">
        <is>
          <t>006</t>
        </is>
      </c>
      <c r="B13" s="15" t="inlineStr">
        <is>
          <t>12 Jan</t>
        </is>
      </c>
      <c r="C13" s="16" t="inlineStr">
        <is>
          <t xml:space="preserve">  ↳ F&amp;B Revenue</t>
        </is>
      </c>
      <c r="D13" s="17" t="inlineStr">
        <is>
          <t>4120</t>
        </is>
      </c>
      <c r="E13" s="18" t="inlineStr">
        <is>
          <t>Sales Revenue — F&amp;B</t>
        </is>
      </c>
      <c r="F13" s="19" t="n"/>
      <c r="G13" s="20" t="n">
        <v>6840</v>
      </c>
      <c r="H13" s="13" t="inlineStr">
        <is>
          <t>Doc</t>
        </is>
      </c>
    </row>
    <row r="14" ht="14" customHeight="1">
      <c r="A14" s="6" t="inlineStr">
        <is>
          <t>COST OF SALES</t>
        </is>
      </c>
    </row>
    <row r="15" ht="14" customHeight="1">
      <c r="A15" s="7" t="inlineStr">
        <is>
          <t>007</t>
        </is>
      </c>
      <c r="B15" s="8" t="inlineStr">
        <is>
          <t>05 Jan</t>
        </is>
      </c>
      <c r="C15" s="9" t="inlineStr">
        <is>
          <t>Berjaya Fresh bulk payment (3 invoices)</t>
        </is>
      </c>
      <c r="D15" s="10" t="inlineStr">
        <is>
          <t>5020</t>
        </is>
      </c>
      <c r="E15" s="9" t="inlineStr">
        <is>
          <t>Direct Materials</t>
        </is>
      </c>
      <c r="F15" s="11" t="n">
        <v>9800</v>
      </c>
      <c r="G15" s="12" t="n"/>
      <c r="H15" s="13" t="inlineStr">
        <is>
          <t>Doc</t>
        </is>
      </c>
    </row>
    <row r="16" ht="14" customHeight="1">
      <c r="A16" s="14" t="inlineStr">
        <is>
          <t>008</t>
        </is>
      </c>
      <c r="B16" s="15" t="inlineStr">
        <is>
          <t>05 Jan</t>
        </is>
      </c>
      <c r="C16" s="16" t="inlineStr">
        <is>
          <t xml:space="preserve">  ↳ CIMB Current Account</t>
        </is>
      </c>
      <c r="D16" s="17" t="inlineStr">
        <is>
          <t>1020</t>
        </is>
      </c>
      <c r="E16" s="18" t="inlineStr">
        <is>
          <t>CIMB Current Account</t>
        </is>
      </c>
      <c r="F16" s="19" t="n"/>
      <c r="G16" s="20" t="n">
        <v>9800</v>
      </c>
      <c r="H16" s="13" t="inlineStr">
        <is>
          <t>Doc</t>
        </is>
      </c>
    </row>
    <row r="17" ht="14" customHeight="1">
      <c r="A17" s="7" t="inlineStr">
        <is>
          <t>009</t>
        </is>
      </c>
      <c r="B17" s="8" t="inlineStr">
        <is>
          <t>22 Jan</t>
        </is>
      </c>
      <c r="C17" s="9" t="inlineStr">
        <is>
          <t>Cold Chain Sdn Bhd</t>
        </is>
      </c>
      <c r="D17" s="10" t="inlineStr">
        <is>
          <t>5020</t>
        </is>
      </c>
      <c r="E17" s="9" t="inlineStr">
        <is>
          <t>Direct Materials</t>
        </is>
      </c>
      <c r="F17" s="11" t="n">
        <v>2750</v>
      </c>
      <c r="G17" s="12" t="n"/>
      <c r="H17" s="13" t="inlineStr">
        <is>
          <t>Doc</t>
        </is>
      </c>
    </row>
    <row r="18" ht="14" customHeight="1">
      <c r="A18" s="14" t="inlineStr">
        <is>
          <t>010</t>
        </is>
      </c>
      <c r="B18" s="15" t="inlineStr">
        <is>
          <t>22 Jan</t>
        </is>
      </c>
      <c r="C18" s="16" t="inlineStr">
        <is>
          <t xml:space="preserve">  ↳ CIMB Current Account</t>
        </is>
      </c>
      <c r="D18" s="17" t="inlineStr">
        <is>
          <t>1020</t>
        </is>
      </c>
      <c r="E18" s="18" t="inlineStr">
        <is>
          <t>CIMB Current Account</t>
        </is>
      </c>
      <c r="F18" s="19" t="n"/>
      <c r="G18" s="20" t="n">
        <v>2750</v>
      </c>
      <c r="H18" s="13" t="inlineStr">
        <is>
          <t>Doc</t>
        </is>
      </c>
    </row>
    <row r="19" ht="14" customHeight="1">
      <c r="A19" s="6" t="inlineStr">
        <is>
          <t>EXPENSES — FROM DOCUMENTS</t>
        </is>
      </c>
    </row>
    <row r="20" ht="14" customHeight="1">
      <c r="A20" s="7" t="inlineStr">
        <is>
          <t>011</t>
        </is>
      </c>
      <c r="B20" s="8" t="inlineStr">
        <is>
          <t>08 Jan</t>
        </is>
      </c>
      <c r="C20" s="9" t="inlineStr">
        <is>
          <t>Insurance expense — Jan portion</t>
        </is>
      </c>
      <c r="D20" s="10" t="inlineStr">
        <is>
          <t>6380</t>
        </is>
      </c>
      <c r="E20" s="9" t="inlineStr">
        <is>
          <t>Insurance</t>
        </is>
      </c>
      <c r="F20" s="11" t="n">
        <v>500</v>
      </c>
      <c r="G20" s="12" t="n"/>
      <c r="H20" s="21" t="inlineStr">
        <is>
          <t>Split</t>
        </is>
      </c>
    </row>
    <row r="21" ht="14" customHeight="1">
      <c r="A21" s="14" t="inlineStr">
        <is>
          <t>012</t>
        </is>
      </c>
      <c r="B21" s="15" t="inlineStr">
        <is>
          <t>08 Jan</t>
        </is>
      </c>
      <c r="C21" s="18" t="inlineStr">
        <is>
          <t>Insurance — prepaid balance Feb–Dec</t>
        </is>
      </c>
      <c r="D21" s="17" t="inlineStr">
        <is>
          <t>1120</t>
        </is>
      </c>
      <c r="E21" s="18" t="inlineStr">
        <is>
          <t>Prepaid Expenses</t>
        </is>
      </c>
      <c r="F21" s="22" t="n">
        <v>5500</v>
      </c>
      <c r="G21" s="19" t="n"/>
      <c r="H21" s="21" t="inlineStr">
        <is>
          <t>Split</t>
        </is>
      </c>
    </row>
    <row r="22" ht="14" customHeight="1">
      <c r="A22" s="7" t="inlineStr">
        <is>
          <t>013</t>
        </is>
      </c>
      <c r="B22" s="8" t="inlineStr">
        <is>
          <t>08 Jan</t>
        </is>
      </c>
      <c r="C22" s="23" t="inlineStr">
        <is>
          <t xml:space="preserve">  ↳ CIMB Current Account</t>
        </is>
      </c>
      <c r="D22" s="10" t="inlineStr">
        <is>
          <t>1020</t>
        </is>
      </c>
      <c r="E22" s="9" t="inlineStr">
        <is>
          <t>CIMB Current Account</t>
        </is>
      </c>
      <c r="F22" s="12" t="n"/>
      <c r="G22" s="24" t="n">
        <v>6000</v>
      </c>
      <c r="H22" s="21" t="inlineStr">
        <is>
          <t>Split</t>
        </is>
      </c>
    </row>
    <row r="23" ht="14" customHeight="1">
      <c r="A23" s="14" t="inlineStr">
        <is>
          <t>014</t>
        </is>
      </c>
      <c r="B23" s="15" t="inlineStr">
        <is>
          <t>14 Jan</t>
        </is>
      </c>
      <c r="C23" s="18" t="inlineStr">
        <is>
          <t>TNB Elektrik — utility bill</t>
        </is>
      </c>
      <c r="D23" s="17" t="inlineStr">
        <is>
          <t>6210</t>
        </is>
      </c>
      <c r="E23" s="18" t="inlineStr">
        <is>
          <t>Utilities — Electricity</t>
        </is>
      </c>
      <c r="F23" s="22" t="n">
        <v>780</v>
      </c>
      <c r="G23" s="19" t="n"/>
      <c r="H23" s="13" t="inlineStr">
        <is>
          <t>Doc</t>
        </is>
      </c>
    </row>
    <row r="24" ht="14" customHeight="1">
      <c r="A24" s="7" t="inlineStr">
        <is>
          <t>015</t>
        </is>
      </c>
      <c r="B24" s="8" t="inlineStr">
        <is>
          <t>14 Jan</t>
        </is>
      </c>
      <c r="C24" s="23" t="inlineStr">
        <is>
          <t xml:space="preserve">  ↳ CIMB Current Account</t>
        </is>
      </c>
      <c r="D24" s="10" t="inlineStr">
        <is>
          <t>1020</t>
        </is>
      </c>
      <c r="E24" s="9" t="inlineStr">
        <is>
          <t>CIMB Current Account</t>
        </is>
      </c>
      <c r="F24" s="12" t="n"/>
      <c r="G24" s="24" t="n">
        <v>780</v>
      </c>
      <c r="H24" s="13" t="inlineStr">
        <is>
          <t>Doc</t>
        </is>
      </c>
    </row>
    <row r="25" ht="14" customHeight="1">
      <c r="A25" s="6" t="inlineStr">
        <is>
          <t>EXPENSES — ADDED FROM BANK</t>
        </is>
      </c>
    </row>
    <row r="26" ht="14" customHeight="1">
      <c r="A26" s="7" t="inlineStr">
        <is>
          <t>016</t>
        </is>
      </c>
      <c r="B26" s="8" t="inlineStr">
        <is>
          <t>07 Jan</t>
        </is>
      </c>
      <c r="C26" s="9" t="inlineStr">
        <is>
          <t>CIMB bank charges (no PV raised)</t>
        </is>
      </c>
      <c r="D26" s="10" t="inlineStr">
        <is>
          <t>6370</t>
        </is>
      </c>
      <c r="E26" s="9" t="inlineStr">
        <is>
          <t>Bank Charges &amp; Fees</t>
        </is>
      </c>
      <c r="F26" s="11" t="n">
        <v>25</v>
      </c>
      <c r="G26" s="12" t="n"/>
      <c r="H26" s="25" t="inlineStr">
        <is>
          <t>Bank+</t>
        </is>
      </c>
    </row>
    <row r="27" ht="14" customHeight="1">
      <c r="A27" s="14" t="inlineStr">
        <is>
          <t>017</t>
        </is>
      </c>
      <c r="B27" s="15" t="inlineStr">
        <is>
          <t>07 Jan</t>
        </is>
      </c>
      <c r="C27" s="16" t="inlineStr">
        <is>
          <t xml:space="preserve">  ↳ CIMB Current Account</t>
        </is>
      </c>
      <c r="D27" s="17" t="inlineStr">
        <is>
          <t>1020</t>
        </is>
      </c>
      <c r="E27" s="18" t="inlineStr">
        <is>
          <t>CIMB Current Account</t>
        </is>
      </c>
      <c r="F27" s="19" t="n"/>
      <c r="G27" s="20" t="n">
        <v>25</v>
      </c>
      <c r="H27" s="25" t="inlineStr">
        <is>
          <t>Bank+</t>
        </is>
      </c>
    </row>
    <row r="28" ht="14" customHeight="1">
      <c r="A28" s="7" t="inlineStr">
        <is>
          <t>018</t>
        </is>
      </c>
      <c r="B28" s="8" t="inlineStr">
        <is>
          <t>08 Jan</t>
        </is>
      </c>
      <c r="C28" s="9" t="inlineStr">
        <is>
          <t>Sunway Property — monthly rent</t>
        </is>
      </c>
      <c r="D28" s="10" t="inlineStr">
        <is>
          <t>6200</t>
        </is>
      </c>
      <c r="E28" s="9" t="inlineStr">
        <is>
          <t>Rent Expense</t>
        </is>
      </c>
      <c r="F28" s="11" t="n">
        <v>4500</v>
      </c>
      <c r="G28" s="12" t="n"/>
      <c r="H28" s="25" t="inlineStr">
        <is>
          <t>Bank+</t>
        </is>
      </c>
    </row>
    <row r="29" ht="14" customHeight="1">
      <c r="A29" s="14" t="inlineStr">
        <is>
          <t>019</t>
        </is>
      </c>
      <c r="B29" s="15" t="inlineStr">
        <is>
          <t>08 Jan</t>
        </is>
      </c>
      <c r="C29" s="16" t="inlineStr">
        <is>
          <t xml:space="preserve">  ↳ CIMB Current Account</t>
        </is>
      </c>
      <c r="D29" s="17" t="inlineStr">
        <is>
          <t>1020</t>
        </is>
      </c>
      <c r="E29" s="18" t="inlineStr">
        <is>
          <t>CIMB Current Account</t>
        </is>
      </c>
      <c r="F29" s="19" t="n"/>
      <c r="G29" s="20" t="n">
        <v>4500</v>
      </c>
      <c r="H29" s="25" t="inlineStr">
        <is>
          <t>Bank+</t>
        </is>
      </c>
    </row>
    <row r="30" ht="14" customHeight="1">
      <c r="A30" s="6" t="inlineStr">
        <is>
          <t>PAYROLL</t>
        </is>
      </c>
    </row>
    <row r="31" ht="14" customHeight="1">
      <c r="A31" s="7" t="inlineStr">
        <is>
          <t>020</t>
        </is>
      </c>
      <c r="B31" s="8" t="inlineStr">
        <is>
          <t>18 Jan</t>
        </is>
      </c>
      <c r="C31" s="9" t="inlineStr">
        <is>
          <t>Gross salaries — Jan 2025</t>
        </is>
      </c>
      <c r="D31" s="10" t="inlineStr">
        <is>
          <t>6100</t>
        </is>
      </c>
      <c r="E31" s="9" t="inlineStr">
        <is>
          <t>Salaries &amp; Wages</t>
        </is>
      </c>
      <c r="F31" s="11" t="n">
        <v>9600</v>
      </c>
      <c r="G31" s="12" t="n"/>
      <c r="H31" s="21" t="inlineStr">
        <is>
          <t>Split</t>
        </is>
      </c>
    </row>
    <row r="32" ht="14" customHeight="1">
      <c r="A32" s="14" t="inlineStr">
        <is>
          <t>021</t>
        </is>
      </c>
      <c r="B32" s="15" t="inlineStr">
        <is>
          <t>18 Jan</t>
        </is>
      </c>
      <c r="C32" s="18" t="inlineStr">
        <is>
          <t>EPF employer contribution (13%)</t>
        </is>
      </c>
      <c r="D32" s="17" t="inlineStr">
        <is>
          <t>6110</t>
        </is>
      </c>
      <c r="E32" s="18" t="inlineStr">
        <is>
          <t>EPF — Employer</t>
        </is>
      </c>
      <c r="F32" s="22" t="n">
        <v>1248</v>
      </c>
      <c r="G32" s="19" t="n"/>
      <c r="H32" s="21" t="inlineStr">
        <is>
          <t>Split</t>
        </is>
      </c>
    </row>
    <row r="33" ht="14" customHeight="1">
      <c r="A33" s="7" t="inlineStr">
        <is>
          <t>022</t>
        </is>
      </c>
      <c r="B33" s="8" t="inlineStr">
        <is>
          <t>18 Jan</t>
        </is>
      </c>
      <c r="C33" s="9" t="inlineStr">
        <is>
          <t>SOCSO + EIS employer</t>
        </is>
      </c>
      <c r="D33" s="10" t="inlineStr">
        <is>
          <t>6120</t>
        </is>
      </c>
      <c r="E33" s="9" t="inlineStr">
        <is>
          <t>SOCSO / EIS Employer</t>
        </is>
      </c>
      <c r="F33" s="11" t="n">
        <v>182</v>
      </c>
      <c r="G33" s="12" t="n"/>
      <c r="H33" s="21" t="inlineStr">
        <is>
          <t>Split</t>
        </is>
      </c>
    </row>
    <row r="34" ht="14" customHeight="1">
      <c r="A34" s="14" t="inlineStr">
        <is>
          <t>023</t>
        </is>
      </c>
      <c r="B34" s="15" t="inlineStr">
        <is>
          <t>18 Jan</t>
        </is>
      </c>
      <c r="C34" s="16" t="inlineStr">
        <is>
          <t xml:space="preserve">  ↳ EPF employee (11%) payable</t>
        </is>
      </c>
      <c r="D34" s="17" t="inlineStr">
        <is>
          <t>2400</t>
        </is>
      </c>
      <c r="E34" s="18" t="inlineStr">
        <is>
          <t>EPF Payable</t>
        </is>
      </c>
      <c r="F34" s="19" t="n"/>
      <c r="G34" s="20" t="n">
        <v>1056</v>
      </c>
      <c r="H34" s="21" t="inlineStr">
        <is>
          <t>Split</t>
        </is>
      </c>
    </row>
    <row r="35" ht="14" customHeight="1">
      <c r="A35" s="7" t="inlineStr">
        <is>
          <t>024</t>
        </is>
      </c>
      <c r="B35" s="8" t="inlineStr">
        <is>
          <t>18 Jan</t>
        </is>
      </c>
      <c r="C35" s="23" t="inlineStr">
        <is>
          <t xml:space="preserve">  ↳ SOCSO + EIS employee payable</t>
        </is>
      </c>
      <c r="D35" s="10" t="inlineStr">
        <is>
          <t>2410</t>
        </is>
      </c>
      <c r="E35" s="9" t="inlineStr">
        <is>
          <t>SOCSO / EIS Payable</t>
        </is>
      </c>
      <c r="F35" s="12" t="n"/>
      <c r="G35" s="24" t="n">
        <v>91</v>
      </c>
      <c r="H35" s="21" t="inlineStr">
        <is>
          <t>Split</t>
        </is>
      </c>
    </row>
    <row r="36" ht="14" customHeight="1">
      <c r="A36" s="14" t="inlineStr">
        <is>
          <t>025</t>
        </is>
      </c>
      <c r="B36" s="15" t="inlineStr">
        <is>
          <t>18 Jan</t>
        </is>
      </c>
      <c r="C36" s="16" t="inlineStr">
        <is>
          <t xml:space="preserve">  ↳ PCB / MTD withheld</t>
        </is>
      </c>
      <c r="D36" s="17" t="inlineStr">
        <is>
          <t>2430</t>
        </is>
      </c>
      <c r="E36" s="18" t="inlineStr">
        <is>
          <t>PCB Payable</t>
        </is>
      </c>
      <c r="F36" s="19" t="n"/>
      <c r="G36" s="20" t="n">
        <v>273</v>
      </c>
      <c r="H36" s="21" t="inlineStr">
        <is>
          <t>Split</t>
        </is>
      </c>
    </row>
    <row r="37" ht="14" customHeight="1">
      <c r="A37" s="7" t="inlineStr">
        <is>
          <t>026</t>
        </is>
      </c>
      <c r="B37" s="8" t="inlineStr">
        <is>
          <t>18 Jan</t>
        </is>
      </c>
      <c r="C37" s="23" t="inlineStr">
        <is>
          <t xml:space="preserve">  ↳ CIMB Current Account (net pay)</t>
        </is>
      </c>
      <c r="D37" s="10" t="inlineStr">
        <is>
          <t>1020</t>
        </is>
      </c>
      <c r="E37" s="9" t="inlineStr">
        <is>
          <t>CIMB Current Account</t>
        </is>
      </c>
      <c r="F37" s="12" t="n"/>
      <c r="G37" s="24" t="n">
        <v>9610</v>
      </c>
      <c r="H37" s="21" t="inlineStr">
        <is>
          <t>Split</t>
        </is>
      </c>
    </row>
    <row r="38" ht="14" customHeight="1">
      <c r="A38" s="6" t="inlineStr">
        <is>
          <t>BALANCE SHEET — RECLASSIFICATIONS</t>
        </is>
      </c>
    </row>
    <row r="39" ht="14" customHeight="1">
      <c r="A39" s="7" t="inlineStr">
        <is>
          <t>027</t>
        </is>
      </c>
      <c r="B39" s="8" t="inlineStr">
        <is>
          <t>16 Jan</t>
        </is>
      </c>
      <c r="C39" s="9" t="inlineStr">
        <is>
          <t>Refrigerator capitalised to PP&amp;E</t>
        </is>
      </c>
      <c r="D39" s="10" t="inlineStr">
        <is>
          <t>1530</t>
        </is>
      </c>
      <c r="E39" s="9" t="inlineStr">
        <is>
          <t>Office Equipment — Cost</t>
        </is>
      </c>
      <c r="F39" s="11" t="n">
        <v>8500</v>
      </c>
      <c r="G39" s="12" t="n"/>
      <c r="H39" s="26" t="inlineStr">
        <is>
          <t>Reclassify</t>
        </is>
      </c>
    </row>
    <row r="40" ht="14" customHeight="1">
      <c r="A40" s="14" t="inlineStr">
        <is>
          <t>028</t>
        </is>
      </c>
      <c r="B40" s="15" t="inlineStr">
        <is>
          <t>16 Jan</t>
        </is>
      </c>
      <c r="C40" s="16" t="inlineStr">
        <is>
          <t xml:space="preserve">  ↳ CIMB Current Account</t>
        </is>
      </c>
      <c r="D40" s="17" t="inlineStr">
        <is>
          <t>1020</t>
        </is>
      </c>
      <c r="E40" s="18" t="inlineStr">
        <is>
          <t>CIMB Current Account</t>
        </is>
      </c>
      <c r="F40" s="19" t="n"/>
      <c r="G40" s="20" t="n">
        <v>8500</v>
      </c>
      <c r="H40" s="26" t="inlineStr">
        <is>
          <t>Reclassify</t>
        </is>
      </c>
    </row>
    <row r="41" ht="14" customHeight="1">
      <c r="A41" s="7" t="inlineStr">
        <is>
          <t>029</t>
        </is>
      </c>
      <c r="B41" s="8" t="inlineStr">
        <is>
          <t>15 Jan</t>
        </is>
      </c>
      <c r="C41" s="9" t="inlineStr">
        <is>
          <t>Director loan received</t>
        </is>
      </c>
      <c r="D41" s="10" t="inlineStr">
        <is>
          <t>1020</t>
        </is>
      </c>
      <c r="E41" s="9" t="inlineStr">
        <is>
          <t>CIMB Current Account</t>
        </is>
      </c>
      <c r="F41" s="11" t="n">
        <v>5000</v>
      </c>
      <c r="G41" s="12" t="n"/>
      <c r="H41" s="26" t="inlineStr">
        <is>
          <t>Reclassify</t>
        </is>
      </c>
    </row>
    <row r="42" ht="14" customHeight="1">
      <c r="A42" s="14" t="inlineStr">
        <is>
          <t>030</t>
        </is>
      </c>
      <c r="B42" s="15" t="inlineStr">
        <is>
          <t>15 Jan</t>
        </is>
      </c>
      <c r="C42" s="16" t="inlineStr">
        <is>
          <t xml:space="preserve">  ↳ Director Loan Payable</t>
        </is>
      </c>
      <c r="D42" s="17" t="inlineStr">
        <is>
          <t>2800</t>
        </is>
      </c>
      <c r="E42" s="18" t="inlineStr">
        <is>
          <t>Director's Loan Payable</t>
        </is>
      </c>
      <c r="F42" s="19" t="n"/>
      <c r="G42" s="20" t="n">
        <v>5000</v>
      </c>
      <c r="H42" s="26" t="inlineStr">
        <is>
          <t>Reclassify</t>
        </is>
      </c>
    </row>
    <row r="43" ht="14" customHeight="1">
      <c r="A43" s="6" t="inlineStr">
        <is>
          <t>LOAN REPAYMENT</t>
        </is>
      </c>
    </row>
    <row r="44" ht="14" customHeight="1">
      <c r="A44" s="7" t="inlineStr">
        <is>
          <t>031</t>
        </is>
      </c>
      <c r="B44" s="8" t="inlineStr">
        <is>
          <t>21 Jan</t>
        </is>
      </c>
      <c r="C44" s="9" t="inlineStr">
        <is>
          <t>Term loan — principal repayment</t>
        </is>
      </c>
      <c r="D44" s="10" t="inlineStr">
        <is>
          <t>2700</t>
        </is>
      </c>
      <c r="E44" s="9" t="inlineStr">
        <is>
          <t>Term Loan (Non-Current)</t>
        </is>
      </c>
      <c r="F44" s="11" t="n">
        <v>1650</v>
      </c>
      <c r="G44" s="12" t="n"/>
      <c r="H44" s="21" t="inlineStr">
        <is>
          <t>Split</t>
        </is>
      </c>
    </row>
    <row r="45" ht="14" customHeight="1">
      <c r="A45" s="14" t="inlineStr">
        <is>
          <t>032</t>
        </is>
      </c>
      <c r="B45" s="15" t="inlineStr">
        <is>
          <t>21 Jan</t>
        </is>
      </c>
      <c r="C45" s="18" t="inlineStr">
        <is>
          <t>Term loan — interest expense</t>
        </is>
      </c>
      <c r="D45" s="17" t="inlineStr">
        <is>
          <t>6600</t>
        </is>
      </c>
      <c r="E45" s="18" t="inlineStr">
        <is>
          <t>Interest Expense</t>
        </is>
      </c>
      <c r="F45" s="22" t="n">
        <v>450</v>
      </c>
      <c r="G45" s="19" t="n"/>
      <c r="H45" s="21" t="inlineStr">
        <is>
          <t>Split</t>
        </is>
      </c>
    </row>
    <row r="46" ht="14" customHeight="1">
      <c r="A46" s="7" t="inlineStr">
        <is>
          <t>033</t>
        </is>
      </c>
      <c r="B46" s="8" t="inlineStr">
        <is>
          <t>21 Jan</t>
        </is>
      </c>
      <c r="C46" s="23" t="inlineStr">
        <is>
          <t xml:space="preserve">  ↳ CIMB Current Account</t>
        </is>
      </c>
      <c r="D46" s="10" t="inlineStr">
        <is>
          <t>1020</t>
        </is>
      </c>
      <c r="E46" s="9" t="inlineStr">
        <is>
          <t>CIMB Current Account</t>
        </is>
      </c>
      <c r="F46" s="12" t="n"/>
      <c r="G46" s="24" t="n">
        <v>2100</v>
      </c>
      <c r="H46" s="21" t="inlineStr">
        <is>
          <t>Split</t>
        </is>
      </c>
    </row>
    <row r="47" ht="14" customHeight="1">
      <c r="A47" s="6" t="inlineStr">
        <is>
          <t>ADJUSTING ENTRIES — PERIOD END</t>
        </is>
      </c>
    </row>
    <row r="48" ht="14" customHeight="1">
      <c r="A48" s="7" t="inlineStr">
        <is>
          <t>034</t>
        </is>
      </c>
      <c r="B48" s="8" t="inlineStr">
        <is>
          <t>31 Jan</t>
        </is>
      </c>
      <c r="C48" s="9" t="inlineStr">
        <is>
          <t>Electricity accrual (rev. Feb)</t>
        </is>
      </c>
      <c r="D48" s="10" t="inlineStr">
        <is>
          <t>6210</t>
        </is>
      </c>
      <c r="E48" s="9" t="inlineStr">
        <is>
          <t>Utilities — Electricity</t>
        </is>
      </c>
      <c r="F48" s="11" t="n">
        <v>650</v>
      </c>
      <c r="G48" s="12" t="n"/>
      <c r="H48" s="27" t="inlineStr">
        <is>
          <t>Adjusting</t>
        </is>
      </c>
    </row>
    <row r="49" ht="14" customHeight="1">
      <c r="A49" s="14" t="inlineStr">
        <is>
          <t>035</t>
        </is>
      </c>
      <c r="B49" s="15" t="inlineStr">
        <is>
          <t>31 Jan</t>
        </is>
      </c>
      <c r="C49" s="16" t="inlineStr">
        <is>
          <t xml:space="preserve">  ↳ Accrued Liabilities</t>
        </is>
      </c>
      <c r="D49" s="17" t="inlineStr">
        <is>
          <t>2110</t>
        </is>
      </c>
      <c r="E49" s="18" t="inlineStr">
        <is>
          <t>Accrued Liabilities</t>
        </is>
      </c>
      <c r="F49" s="19" t="n"/>
      <c r="G49" s="20" t="n">
        <v>650</v>
      </c>
      <c r="H49" s="27" t="inlineStr">
        <is>
          <t>Adjusting</t>
        </is>
      </c>
    </row>
    <row r="50" ht="14" customHeight="1">
      <c r="A50" s="7" t="inlineStr">
        <is>
          <t>036</t>
        </is>
      </c>
      <c r="B50" s="8" t="inlineStr">
        <is>
          <t>31 Jan</t>
        </is>
      </c>
      <c r="C50" s="9" t="inlineStr">
        <is>
          <t>Salary accrual (rev. Feb)</t>
        </is>
      </c>
      <c r="D50" s="10" t="inlineStr">
        <is>
          <t>6100</t>
        </is>
      </c>
      <c r="E50" s="9" t="inlineStr">
        <is>
          <t>Salaries &amp; Wages</t>
        </is>
      </c>
      <c r="F50" s="11" t="n">
        <v>1200</v>
      </c>
      <c r="G50" s="12" t="n"/>
      <c r="H50" s="27" t="inlineStr">
        <is>
          <t>Adjusting</t>
        </is>
      </c>
    </row>
    <row r="51" ht="14" customHeight="1">
      <c r="A51" s="14" t="inlineStr">
        <is>
          <t>037</t>
        </is>
      </c>
      <c r="B51" s="15" t="inlineStr">
        <is>
          <t>31 Jan</t>
        </is>
      </c>
      <c r="C51" s="16" t="inlineStr">
        <is>
          <t xml:space="preserve">  ↳ Accrued Liabilities</t>
        </is>
      </c>
      <c r="D51" s="17" t="inlineStr">
        <is>
          <t>2110</t>
        </is>
      </c>
      <c r="E51" s="18" t="inlineStr">
        <is>
          <t>Accrued Liabilities</t>
        </is>
      </c>
      <c r="F51" s="19" t="n"/>
      <c r="G51" s="20" t="n">
        <v>1200</v>
      </c>
      <c r="H51" s="27" t="inlineStr">
        <is>
          <t>Adjusting</t>
        </is>
      </c>
    </row>
    <row r="52" ht="14" customHeight="1">
      <c r="A52" s="7" t="inlineStr">
        <is>
          <t>038</t>
        </is>
      </c>
      <c r="B52" s="8" t="inlineStr">
        <is>
          <t>31 Jan</t>
        </is>
      </c>
      <c r="C52" s="9" t="inlineStr">
        <is>
          <t>Audit fee accrual</t>
        </is>
      </c>
      <c r="D52" s="10" t="inlineStr">
        <is>
          <t>6320</t>
        </is>
      </c>
      <c r="E52" s="9" t="inlineStr">
        <is>
          <t>Professional Fees — Audit</t>
        </is>
      </c>
      <c r="F52" s="11" t="n">
        <v>3500</v>
      </c>
      <c r="G52" s="12" t="n"/>
      <c r="H52" s="27" t="inlineStr">
        <is>
          <t>Adjusting</t>
        </is>
      </c>
    </row>
    <row r="53" ht="14" customHeight="1">
      <c r="A53" s="14" t="inlineStr">
        <is>
          <t>039</t>
        </is>
      </c>
      <c r="B53" s="15" t="inlineStr">
        <is>
          <t>31 Jan</t>
        </is>
      </c>
      <c r="C53" s="16" t="inlineStr">
        <is>
          <t xml:space="preserve">  ↳ Accrued Liabilities</t>
        </is>
      </c>
      <c r="D53" s="17" t="inlineStr">
        <is>
          <t>2110</t>
        </is>
      </c>
      <c r="E53" s="18" t="inlineStr">
        <is>
          <t>Accrued Liabilities</t>
        </is>
      </c>
      <c r="F53" s="19" t="n"/>
      <c r="G53" s="20" t="n">
        <v>3500</v>
      </c>
      <c r="H53" s="27" t="inlineStr">
        <is>
          <t>Adjusting</t>
        </is>
      </c>
    </row>
    <row r="54" ht="14" customHeight="1">
      <c r="A54" s="7" t="inlineStr">
        <is>
          <t>040</t>
        </is>
      </c>
      <c r="B54" s="8" t="inlineStr">
        <is>
          <t>31 Jan</t>
        </is>
      </c>
      <c r="C54" s="9" t="inlineStr">
        <is>
          <t>Depreciation — refrigerator Jan</t>
        </is>
      </c>
      <c r="D54" s="10" t="inlineStr">
        <is>
          <t>6700</t>
        </is>
      </c>
      <c r="E54" s="9" t="inlineStr">
        <is>
          <t>Depreciation — PP&amp;E</t>
        </is>
      </c>
      <c r="F54" s="11" t="n">
        <v>133.33</v>
      </c>
      <c r="G54" s="12" t="n"/>
      <c r="H54" s="27" t="inlineStr">
        <is>
          <t>Adjusting</t>
        </is>
      </c>
    </row>
    <row r="55" ht="14" customHeight="1">
      <c r="A55" s="14" t="inlineStr">
        <is>
          <t>041</t>
        </is>
      </c>
      <c r="B55" s="15" t="inlineStr">
        <is>
          <t>31 Jan</t>
        </is>
      </c>
      <c r="C55" s="16" t="inlineStr">
        <is>
          <t xml:space="preserve">  ↳ Accumulated Depreciation</t>
        </is>
      </c>
      <c r="D55" s="17" t="inlineStr">
        <is>
          <t>1590</t>
        </is>
      </c>
      <c r="E55" s="18" t="inlineStr">
        <is>
          <t>Accumulated Depreciation</t>
        </is>
      </c>
      <c r="F55" s="19" t="n"/>
      <c r="G55" s="20" t="n">
        <v>133.33</v>
      </c>
      <c r="H55" s="27" t="inlineStr">
        <is>
          <t>Adjusting</t>
        </is>
      </c>
    </row>
    <row r="56" ht="16" customHeight="1">
      <c r="A56" s="28" t="inlineStr">
        <is>
          <t>TOTALS</t>
        </is>
      </c>
      <c r="B56" s="29" t="n"/>
      <c r="C56" s="29" t="n"/>
      <c r="D56" s="29" t="n"/>
      <c r="E56" s="30" t="n"/>
      <c r="F56" s="31">
        <f>SUM(F7:F55)</f>
        <v/>
      </c>
      <c r="G56" s="32">
        <f>SUM(G7:G55)</f>
        <v/>
      </c>
      <c r="H56" s="33" t="n"/>
    </row>
    <row r="57" ht="14" customHeight="1">
      <c r="A57" s="34" t="inlineStr">
        <is>
          <t>Difference (Debit − Credit)</t>
        </is>
      </c>
      <c r="F57" s="35">
        <f>F56-G56</f>
        <v/>
      </c>
      <c r="G57" s="36" t="n"/>
      <c r="H57" s="36" t="n"/>
    </row>
  </sheetData>
  <mergeCells count="14">
    <mergeCell ref="A4:H4"/>
    <mergeCell ref="A30:H30"/>
    <mergeCell ref="A57:E57"/>
    <mergeCell ref="A7:H7"/>
    <mergeCell ref="A25:H25"/>
    <mergeCell ref="A43:H43"/>
    <mergeCell ref="A38:H38"/>
    <mergeCell ref="A3:D3"/>
    <mergeCell ref="A19:H19"/>
    <mergeCell ref="A14:H14"/>
    <mergeCell ref="A47:H47"/>
    <mergeCell ref="A5:H5"/>
    <mergeCell ref="A1:H2"/>
    <mergeCell ref="A56:E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37" t="inlineStr">
        <is>
          <t>TRIAL BALANCE — January 2025</t>
        </is>
      </c>
    </row>
    <row r="2" ht="6" customHeight="1"/>
    <row r="3">
      <c r="A3" s="2" t="inlineStr">
        <is>
          <t>The Suburban Food Sdn Bhd  |  Period ending 31 January 2025</t>
        </is>
      </c>
    </row>
    <row r="4" ht="4" customHeight="1">
      <c r="A4" s="3" t="n"/>
    </row>
    <row r="5" ht="14" customHeight="1">
      <c r="A5" s="5" t="inlineStr">
        <is>
          <t>GL Code</t>
        </is>
      </c>
      <c r="B5" s="5" t="inlineStr">
        <is>
          <t>Account Name</t>
        </is>
      </c>
      <c r="C5" s="5" t="inlineStr">
        <is>
          <t>Debit (RM)</t>
        </is>
      </c>
      <c r="D5" s="5" t="inlineStr">
        <is>
          <t>Credit (RM)</t>
        </is>
      </c>
      <c r="E5" s="5" t="inlineStr">
        <is>
          <t>Balance (RM)</t>
        </is>
      </c>
    </row>
    <row r="6" ht="13" customHeight="1">
      <c r="A6" s="6" t="inlineStr">
        <is>
          <t>ASSETS</t>
        </is>
      </c>
    </row>
    <row r="7" ht="13" customHeight="1">
      <c r="A7" s="10" t="inlineStr">
        <is>
          <t>1020</t>
        </is>
      </c>
      <c r="B7" s="9" t="inlineStr">
        <is>
          <t>CIMB Current Account</t>
        </is>
      </c>
      <c r="C7" s="38" t="n">
        <v>48320</v>
      </c>
      <c r="D7" s="12" t="n"/>
      <c r="E7" s="39">
        <f>IF(C7&lt;&gt;"",C7,0)-IF(D7&lt;&gt;"",D7,0)</f>
        <v/>
      </c>
    </row>
    <row r="8" ht="13" customHeight="1">
      <c r="A8" s="17" t="inlineStr">
        <is>
          <t>1120</t>
        </is>
      </c>
      <c r="B8" s="18" t="inlineStr">
        <is>
          <t>Prepaid Expenses</t>
        </is>
      </c>
      <c r="C8" s="40" t="n">
        <v>5500</v>
      </c>
      <c r="D8" s="19" t="n"/>
      <c r="E8" s="41">
        <f>IF(C8&lt;&gt;"",C8,0)-IF(D8&lt;&gt;"",D8,0)</f>
        <v/>
      </c>
    </row>
    <row r="9" ht="13" customHeight="1">
      <c r="A9" s="10" t="inlineStr">
        <is>
          <t>1530</t>
        </is>
      </c>
      <c r="B9" s="9" t="inlineStr">
        <is>
          <t>Office Equipment — Cost</t>
        </is>
      </c>
      <c r="C9" s="38" t="n">
        <v>8500</v>
      </c>
      <c r="D9" s="12" t="n"/>
      <c r="E9" s="39">
        <f>IF(C9&lt;&gt;"",C9,0)-IF(D9&lt;&gt;"",D9,0)</f>
        <v/>
      </c>
    </row>
    <row r="10" ht="13" customHeight="1">
      <c r="A10" s="17" t="inlineStr">
        <is>
          <t>1590</t>
        </is>
      </c>
      <c r="B10" s="18" t="inlineStr">
        <is>
          <t>Accumulated Depreciation</t>
        </is>
      </c>
      <c r="C10" s="19" t="n"/>
      <c r="D10" s="42" t="n">
        <v>133.33</v>
      </c>
      <c r="E10" s="41">
        <f>IF(C10&lt;&gt;"",C10,0)-IF(D10&lt;&gt;"",D10,0)</f>
        <v/>
      </c>
    </row>
    <row r="11" ht="13" customHeight="1">
      <c r="A11" s="10" t="inlineStr">
        <is>
          <t>1100</t>
        </is>
      </c>
      <c r="B11" s="9" t="inlineStr">
        <is>
          <t>Accounts Receivable (A/R)</t>
        </is>
      </c>
      <c r="C11" s="12" t="n"/>
      <c r="D11" s="12" t="n"/>
      <c r="E11" s="39">
        <f>IF(C11&lt;&gt;"",C11,0)-IF(D11&lt;&gt;"",D11,0)</f>
        <v/>
      </c>
    </row>
    <row r="12" ht="13" customHeight="1">
      <c r="A12" s="43" t="inlineStr">
        <is>
          <t>LIABILITIES</t>
        </is>
      </c>
    </row>
    <row r="13" ht="13" customHeight="1">
      <c r="A13" s="17" t="inlineStr">
        <is>
          <t>2110</t>
        </is>
      </c>
      <c r="B13" s="18" t="inlineStr">
        <is>
          <t>Accrued Liabilities</t>
        </is>
      </c>
      <c r="C13" s="19" t="n"/>
      <c r="D13" s="42" t="n">
        <v>5350</v>
      </c>
      <c r="E13" s="41">
        <f>IF(C13&lt;&gt;"",C13,0)-IF(D13&lt;&gt;"",D13,0)</f>
        <v/>
      </c>
    </row>
    <row r="14" ht="13" customHeight="1">
      <c r="A14" s="10" t="inlineStr">
        <is>
          <t>2400</t>
        </is>
      </c>
      <c r="B14" s="9" t="inlineStr">
        <is>
          <t>EPF Payable</t>
        </is>
      </c>
      <c r="C14" s="12" t="n"/>
      <c r="D14" s="44" t="n">
        <v>1056</v>
      </c>
      <c r="E14" s="39">
        <f>IF(C14&lt;&gt;"",C14,0)-IF(D14&lt;&gt;"",D14,0)</f>
        <v/>
      </c>
    </row>
    <row r="15" ht="13" customHeight="1">
      <c r="A15" s="17" t="inlineStr">
        <is>
          <t>2410</t>
        </is>
      </c>
      <c r="B15" s="18" t="inlineStr">
        <is>
          <t>SOCSO / EIS Payable</t>
        </is>
      </c>
      <c r="C15" s="19" t="n"/>
      <c r="D15" s="42" t="n">
        <v>91</v>
      </c>
      <c r="E15" s="41">
        <f>IF(C15&lt;&gt;"",C15,0)-IF(D15&lt;&gt;"",D15,0)</f>
        <v/>
      </c>
    </row>
    <row r="16" ht="13" customHeight="1">
      <c r="A16" s="10" t="inlineStr">
        <is>
          <t>2430</t>
        </is>
      </c>
      <c r="B16" s="9" t="inlineStr">
        <is>
          <t>PCB Payable</t>
        </is>
      </c>
      <c r="C16" s="12" t="n"/>
      <c r="D16" s="44" t="n">
        <v>273</v>
      </c>
      <c r="E16" s="39">
        <f>IF(C16&lt;&gt;"",C16,0)-IF(D16&lt;&gt;"",D16,0)</f>
        <v/>
      </c>
    </row>
    <row r="17" ht="13" customHeight="1">
      <c r="A17" s="17" t="inlineStr">
        <is>
          <t>2700</t>
        </is>
      </c>
      <c r="B17" s="18" t="inlineStr">
        <is>
          <t>Term Loan (Non-Current)</t>
        </is>
      </c>
      <c r="C17" s="19" t="n"/>
      <c r="D17" s="19" t="n"/>
      <c r="E17" s="41">
        <f>IF(C17&lt;&gt;"",C17,0)-IF(D17&lt;&gt;"",D17,0)</f>
        <v/>
      </c>
    </row>
    <row r="18" ht="13" customHeight="1">
      <c r="A18" s="10" t="inlineStr">
        <is>
          <t>2800</t>
        </is>
      </c>
      <c r="B18" s="9" t="inlineStr">
        <is>
          <t>Director's Loan Payable</t>
        </is>
      </c>
      <c r="C18" s="12" t="n"/>
      <c r="D18" s="44" t="n">
        <v>5000</v>
      </c>
      <c r="E18" s="39">
        <f>IF(C18&lt;&gt;"",C18,0)-IF(D18&lt;&gt;"",D18,0)</f>
        <v/>
      </c>
    </row>
    <row r="19" ht="13" customHeight="1">
      <c r="A19" s="45" t="inlineStr">
        <is>
          <t>EQUITY</t>
        </is>
      </c>
    </row>
    <row r="20" ht="13" customHeight="1">
      <c r="A20" s="17" t="inlineStr">
        <is>
          <t>3300</t>
        </is>
      </c>
      <c r="B20" s="18" t="inlineStr">
        <is>
          <t>Retained Earnings — Prior Years</t>
        </is>
      </c>
      <c r="C20" s="19" t="n"/>
      <c r="D20" s="19" t="n"/>
      <c r="E20" s="41">
        <f>IF(C20&lt;&gt;"",C20,0)-IF(D20&lt;&gt;"",D20,0)</f>
        <v/>
      </c>
    </row>
    <row r="21" ht="13" customHeight="1">
      <c r="A21" s="10" t="inlineStr">
        <is>
          <t>3310</t>
        </is>
      </c>
      <c r="B21" s="9" t="inlineStr">
        <is>
          <t>Current Year P&amp;L</t>
        </is>
      </c>
      <c r="C21" s="12" t="n"/>
      <c r="D21" s="12" t="n"/>
      <c r="E21" s="39">
        <f>IF(C21&lt;&gt;"",C21,0)-IF(D21&lt;&gt;"",D21,0)</f>
        <v/>
      </c>
    </row>
    <row r="22" ht="13" customHeight="1">
      <c r="A22" s="46" t="inlineStr">
        <is>
          <t>REVENUE</t>
        </is>
      </c>
    </row>
    <row r="23" ht="13" customHeight="1">
      <c r="A23" s="17" t="inlineStr">
        <is>
          <t>4100</t>
        </is>
      </c>
      <c r="B23" s="18" t="inlineStr">
        <is>
          <t>Sales Revenue</t>
        </is>
      </c>
      <c r="C23" s="19" t="n"/>
      <c r="D23" s="42" t="n">
        <v>20700</v>
      </c>
      <c r="E23" s="41">
        <f>IF(C23&lt;&gt;"",C23,0)-IF(D23&lt;&gt;"",D23,0)</f>
        <v/>
      </c>
    </row>
    <row r="24" ht="13" customHeight="1">
      <c r="A24" s="10" t="inlineStr">
        <is>
          <t>4120</t>
        </is>
      </c>
      <c r="B24" s="9" t="inlineStr">
        <is>
          <t>Sales Revenue — F&amp;B</t>
        </is>
      </c>
      <c r="C24" s="12" t="n"/>
      <c r="D24" s="44" t="n">
        <v>13960</v>
      </c>
      <c r="E24" s="39">
        <f>IF(C24&lt;&gt;"",C24,0)-IF(D24&lt;&gt;"",D24,0)</f>
        <v/>
      </c>
    </row>
    <row r="25" ht="13" customHeight="1">
      <c r="A25" s="17" t="inlineStr">
        <is>
          <t>4300</t>
        </is>
      </c>
      <c r="B25" s="18" t="inlineStr">
        <is>
          <t>Interest Income</t>
        </is>
      </c>
      <c r="C25" s="19" t="n"/>
      <c r="D25" s="42" t="n">
        <v>35</v>
      </c>
      <c r="E25" s="41">
        <f>IF(C25&lt;&gt;"",C25,0)-IF(D25&lt;&gt;"",D25,0)</f>
        <v/>
      </c>
    </row>
    <row r="26" ht="13" customHeight="1">
      <c r="A26" s="47" t="inlineStr">
        <is>
          <t>COST OF SALES</t>
        </is>
      </c>
    </row>
    <row r="27" ht="13" customHeight="1">
      <c r="A27" s="10" t="inlineStr">
        <is>
          <t>5020</t>
        </is>
      </c>
      <c r="B27" s="9" t="inlineStr">
        <is>
          <t>Direct Materials</t>
        </is>
      </c>
      <c r="C27" s="38" t="n">
        <v>12550</v>
      </c>
      <c r="D27" s="12" t="n"/>
      <c r="E27" s="39">
        <f>IF(C27&lt;&gt;"",C27,0)-IF(D27&lt;&gt;"",D27,0)</f>
        <v/>
      </c>
    </row>
    <row r="28" ht="13" customHeight="1">
      <c r="A28" s="48" t="inlineStr">
        <is>
          <t>EXPENSES</t>
        </is>
      </c>
    </row>
    <row r="29" ht="13" customHeight="1">
      <c r="A29" s="17" t="inlineStr">
        <is>
          <t>6100</t>
        </is>
      </c>
      <c r="B29" s="18" t="inlineStr">
        <is>
          <t>Salaries &amp; Wages</t>
        </is>
      </c>
      <c r="C29" s="40" t="n">
        <v>10800</v>
      </c>
      <c r="D29" s="19" t="n"/>
      <c r="E29" s="41">
        <f>IF(C29&lt;&gt;"",C29,0)-IF(D29&lt;&gt;"",D29,0)</f>
        <v/>
      </c>
    </row>
    <row r="30" ht="13" customHeight="1">
      <c r="A30" s="10" t="inlineStr">
        <is>
          <t>6110</t>
        </is>
      </c>
      <c r="B30" s="9" t="inlineStr">
        <is>
          <t>EPF — Employer</t>
        </is>
      </c>
      <c r="C30" s="38" t="n">
        <v>1248</v>
      </c>
      <c r="D30" s="12" t="n"/>
      <c r="E30" s="39">
        <f>IF(C30&lt;&gt;"",C30,0)-IF(D30&lt;&gt;"",D30,0)</f>
        <v/>
      </c>
    </row>
    <row r="31" ht="13" customHeight="1">
      <c r="A31" s="17" t="inlineStr">
        <is>
          <t>6120</t>
        </is>
      </c>
      <c r="B31" s="18" t="inlineStr">
        <is>
          <t>SOCSO / EIS Employer</t>
        </is>
      </c>
      <c r="C31" s="40" t="n">
        <v>182</v>
      </c>
      <c r="D31" s="19" t="n"/>
      <c r="E31" s="41">
        <f>IF(C31&lt;&gt;"",C31,0)-IF(D31&lt;&gt;"",D31,0)</f>
        <v/>
      </c>
    </row>
    <row r="32" ht="13" customHeight="1">
      <c r="A32" s="10" t="inlineStr">
        <is>
          <t>6200</t>
        </is>
      </c>
      <c r="B32" s="9" t="inlineStr">
        <is>
          <t>Rent Expense</t>
        </is>
      </c>
      <c r="C32" s="38" t="n">
        <v>4500</v>
      </c>
      <c r="D32" s="12" t="n"/>
      <c r="E32" s="39">
        <f>IF(C32&lt;&gt;"",C32,0)-IF(D32&lt;&gt;"",D32,0)</f>
        <v/>
      </c>
    </row>
    <row r="33" ht="13" customHeight="1">
      <c r="A33" s="17" t="inlineStr">
        <is>
          <t>6210</t>
        </is>
      </c>
      <c r="B33" s="18" t="inlineStr">
        <is>
          <t>Utilities — Electricity</t>
        </is>
      </c>
      <c r="C33" s="40" t="n">
        <v>1430</v>
      </c>
      <c r="D33" s="19" t="n"/>
      <c r="E33" s="41">
        <f>IF(C33&lt;&gt;"",C33,0)-IF(D33&lt;&gt;"",D33,0)</f>
        <v/>
      </c>
    </row>
    <row r="34" ht="13" customHeight="1">
      <c r="A34" s="10" t="inlineStr">
        <is>
          <t>6320</t>
        </is>
      </c>
      <c r="B34" s="9" t="inlineStr">
        <is>
          <t>Professional Fees — Audit</t>
        </is>
      </c>
      <c r="C34" s="38" t="n">
        <v>3500</v>
      </c>
      <c r="D34" s="12" t="n"/>
      <c r="E34" s="39">
        <f>IF(C34&lt;&gt;"",C34,0)-IF(D34&lt;&gt;"",D34,0)</f>
        <v/>
      </c>
    </row>
    <row r="35" ht="13" customHeight="1">
      <c r="A35" s="17" t="inlineStr">
        <is>
          <t>6370</t>
        </is>
      </c>
      <c r="B35" s="18" t="inlineStr">
        <is>
          <t>Bank Charges &amp; Fees</t>
        </is>
      </c>
      <c r="C35" s="40" t="n">
        <v>25</v>
      </c>
      <c r="D35" s="19" t="n"/>
      <c r="E35" s="41">
        <f>IF(C35&lt;&gt;"",C35,0)-IF(D35&lt;&gt;"",D35,0)</f>
        <v/>
      </c>
    </row>
    <row r="36" ht="13" customHeight="1">
      <c r="A36" s="10" t="inlineStr">
        <is>
          <t>6380</t>
        </is>
      </c>
      <c r="B36" s="9" t="inlineStr">
        <is>
          <t>Insurance</t>
        </is>
      </c>
      <c r="C36" s="38" t="n">
        <v>500</v>
      </c>
      <c r="D36" s="12" t="n"/>
      <c r="E36" s="39">
        <f>IF(C36&lt;&gt;"",C36,0)-IF(D36&lt;&gt;"",D36,0)</f>
        <v/>
      </c>
    </row>
    <row r="37" ht="13" customHeight="1">
      <c r="A37" s="17" t="inlineStr">
        <is>
          <t>6600</t>
        </is>
      </c>
      <c r="B37" s="18" t="inlineStr">
        <is>
          <t>Interest Expense</t>
        </is>
      </c>
      <c r="C37" s="40" t="n">
        <v>450</v>
      </c>
      <c r="D37" s="19" t="n"/>
      <c r="E37" s="41">
        <f>IF(C37&lt;&gt;"",C37,0)-IF(D37&lt;&gt;"",D37,0)</f>
        <v/>
      </c>
    </row>
    <row r="38" ht="13" customHeight="1">
      <c r="A38" s="10" t="inlineStr">
        <is>
          <t>6700</t>
        </is>
      </c>
      <c r="B38" s="9" t="inlineStr">
        <is>
          <t>Depreciation — PP&amp;E</t>
        </is>
      </c>
      <c r="C38" s="38" t="n">
        <v>133.33</v>
      </c>
      <c r="D38" s="12" t="n"/>
      <c r="E38" s="39">
        <f>IF(C38&lt;&gt;"",C38,0)-IF(D38&lt;&gt;"",D38,0)</f>
        <v/>
      </c>
    </row>
    <row r="39" ht="15" customHeight="1">
      <c r="A39" s="28" t="inlineStr">
        <is>
          <t>TOTALS</t>
        </is>
      </c>
      <c r="B39" s="30" t="n"/>
      <c r="C39" s="31">
        <f>SUM(C6:C38)</f>
        <v/>
      </c>
      <c r="D39" s="31">
        <f>SUM(D6:D38)</f>
        <v/>
      </c>
      <c r="E39" s="33" t="n"/>
    </row>
  </sheetData>
  <mergeCells count="10">
    <mergeCell ref="A12:E12"/>
    <mergeCell ref="A4:E4"/>
    <mergeCell ref="A26:E26"/>
    <mergeCell ref="A28:E28"/>
    <mergeCell ref="A19:E19"/>
    <mergeCell ref="A1:E2"/>
    <mergeCell ref="A6:E6"/>
    <mergeCell ref="A22:E22"/>
    <mergeCell ref="A39:B3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2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</cols>
  <sheetData>
    <row r="1" ht="22" customHeight="1">
      <c r="A1" s="37" t="inlineStr">
        <is>
          <t>DOCUMENT POSTING LEDGER — WP 1</t>
        </is>
      </c>
    </row>
    <row r="2" ht="6" customHeight="1"/>
    <row r="3">
      <c r="A3" s="2" t="inlineStr">
        <is>
          <t>The Suburban Food Sdn Bhd  |  January 2025  |  All source documents posted in this session</t>
        </is>
      </c>
    </row>
    <row r="4" ht="4" customHeight="1">
      <c r="A4" s="3" t="n"/>
    </row>
    <row r="5">
      <c r="A5" s="5" t="inlineStr">
        <is>
          <t>#</t>
        </is>
      </c>
      <c r="B5" s="5" t="inlineStr">
        <is>
          <t>Date</t>
        </is>
      </c>
      <c r="C5" s="5" t="inlineStr">
        <is>
          <t>Doc Ref</t>
        </is>
      </c>
      <c r="D5" s="5" t="inlineStr">
        <is>
          <t>Vendor / Customer</t>
        </is>
      </c>
      <c r="E5" s="5" t="inlineStr">
        <is>
          <t>Doc Type</t>
        </is>
      </c>
      <c r="F5" s="5" t="inlineStr">
        <is>
          <t>Amount (RM)</t>
        </is>
      </c>
      <c r="G5" s="5" t="inlineStr">
        <is>
          <t>Flow</t>
        </is>
      </c>
      <c r="H5" s="5" t="inlineStr">
        <is>
          <t>GL Account</t>
        </is>
      </c>
      <c r="I5" s="5" t="inlineStr">
        <is>
          <t>Status</t>
        </is>
      </c>
    </row>
    <row r="6" ht="13" customHeight="1">
      <c r="A6" s="7" t="inlineStr">
        <is>
          <t>01</t>
        </is>
      </c>
      <c r="B6" s="8" t="inlineStr">
        <is>
          <t>03 Jan</t>
        </is>
      </c>
      <c r="C6" s="10" t="inlineStr">
        <is>
          <t>INV-2025-001</t>
        </is>
      </c>
      <c r="D6" s="9" t="inlineStr">
        <is>
          <t>Maya Food Supply Sdn Bhd</t>
        </is>
      </c>
      <c r="E6" s="27" t="inlineStr">
        <is>
          <t>Sales Invoice</t>
        </is>
      </c>
      <c r="F6" s="49" t="n">
        <v>12500</v>
      </c>
      <c r="G6" s="50" t="inlineStr">
        <is>
          <t>IN</t>
        </is>
      </c>
      <c r="H6" s="51" t="inlineStr">
        <is>
          <t>4100 — Sales Revenue</t>
        </is>
      </c>
      <c r="I6" s="27" t="inlineStr">
        <is>
          <t>Posted</t>
        </is>
      </c>
    </row>
    <row r="7" ht="13" customHeight="1">
      <c r="A7" s="14" t="inlineStr">
        <is>
          <t>02</t>
        </is>
      </c>
      <c r="B7" s="15" t="inlineStr">
        <is>
          <t>12 Jan</t>
        </is>
      </c>
      <c r="C7" s="17" t="inlineStr">
        <is>
          <t>GRAB-W2-JAN</t>
        </is>
      </c>
      <c r="D7" s="18" t="inlineStr">
        <is>
          <t>Grab Food Merchant Payout W2</t>
        </is>
      </c>
      <c r="E7" s="26" t="inlineStr">
        <is>
          <t>Merchant Statement</t>
        </is>
      </c>
      <c r="F7" s="52" t="n">
        <v>6840</v>
      </c>
      <c r="G7" s="53" t="inlineStr">
        <is>
          <t>IN</t>
        </is>
      </c>
      <c r="H7" s="54" t="inlineStr">
        <is>
          <t>4120 — F&amp;B Revenue</t>
        </is>
      </c>
      <c r="I7" s="27" t="inlineStr">
        <is>
          <t>Posted</t>
        </is>
      </c>
    </row>
    <row r="8" ht="13" customHeight="1">
      <c r="A8" s="7" t="inlineStr">
        <is>
          <t>03</t>
        </is>
      </c>
      <c r="B8" s="8" t="inlineStr">
        <is>
          <t>20 Jan</t>
        </is>
      </c>
      <c r="C8" s="10" t="inlineStr">
        <is>
          <t>INV-2025-003</t>
        </is>
      </c>
      <c r="D8" s="9" t="inlineStr">
        <is>
          <t>Maya Food Supply Sdn Bhd</t>
        </is>
      </c>
      <c r="E8" s="27" t="inlineStr">
        <is>
          <t>Sales Invoice</t>
        </is>
      </c>
      <c r="F8" s="49" t="n">
        <v>8200</v>
      </c>
      <c r="G8" s="50" t="inlineStr">
        <is>
          <t>IN</t>
        </is>
      </c>
      <c r="H8" s="51" t="inlineStr">
        <is>
          <t>4100 — Sales Revenue</t>
        </is>
      </c>
      <c r="I8" s="27" t="inlineStr">
        <is>
          <t>Posted</t>
        </is>
      </c>
    </row>
    <row r="9" ht="13" customHeight="1">
      <c r="A9" s="14" t="inlineStr">
        <is>
          <t>04</t>
        </is>
      </c>
      <c r="B9" s="15" t="inlineStr">
        <is>
          <t>27 Jan</t>
        </is>
      </c>
      <c r="C9" s="17" t="inlineStr">
        <is>
          <t>GRAB-W4-JAN</t>
        </is>
      </c>
      <c r="D9" s="18" t="inlineStr">
        <is>
          <t>Grab Food Merchant Payout W4</t>
        </is>
      </c>
      <c r="E9" s="26" t="inlineStr">
        <is>
          <t>Merchant Statement</t>
        </is>
      </c>
      <c r="F9" s="52" t="n">
        <v>7120</v>
      </c>
      <c r="G9" s="53" t="inlineStr">
        <is>
          <t>IN</t>
        </is>
      </c>
      <c r="H9" s="54" t="inlineStr">
        <is>
          <t>4120 — F&amp;B Revenue</t>
        </is>
      </c>
      <c r="I9" s="27" t="inlineStr">
        <is>
          <t>Posted</t>
        </is>
      </c>
    </row>
    <row r="10" ht="13" customHeight="1">
      <c r="A10" s="7" t="inlineStr">
        <is>
          <t>05</t>
        </is>
      </c>
      <c r="B10" s="8" t="inlineStr">
        <is>
          <t>05 Jan</t>
        </is>
      </c>
      <c r="C10" s="10" t="inlineStr">
        <is>
          <t>INV-BF-881</t>
        </is>
      </c>
      <c r="D10" s="9" t="inlineStr">
        <is>
          <t>Berjaya Fresh Sdn Bhd</t>
        </is>
      </c>
      <c r="E10" s="55" t="inlineStr">
        <is>
          <t>Purchase Invoice</t>
        </is>
      </c>
      <c r="F10" s="56" t="n">
        <v>3200</v>
      </c>
      <c r="G10" s="57" t="inlineStr">
        <is>
          <t>OUT</t>
        </is>
      </c>
      <c r="H10" s="51" t="inlineStr">
        <is>
          <t>5020 — Direct Materials</t>
        </is>
      </c>
      <c r="I10" s="27" t="inlineStr">
        <is>
          <t>Posted</t>
        </is>
      </c>
    </row>
    <row r="11" ht="13" customHeight="1">
      <c r="A11" s="14" t="inlineStr">
        <is>
          <t>06</t>
        </is>
      </c>
      <c r="B11" s="15" t="inlineStr">
        <is>
          <t>05 Jan</t>
        </is>
      </c>
      <c r="C11" s="17" t="inlineStr">
        <is>
          <t>INV-BF-894</t>
        </is>
      </c>
      <c r="D11" s="18" t="inlineStr">
        <is>
          <t>Berjaya Fresh Sdn Bhd</t>
        </is>
      </c>
      <c r="E11" s="55" t="inlineStr">
        <is>
          <t>Purchase Invoice</t>
        </is>
      </c>
      <c r="F11" s="58" t="n">
        <v>4100</v>
      </c>
      <c r="G11" s="59" t="inlineStr">
        <is>
          <t>OUT</t>
        </is>
      </c>
      <c r="H11" s="54" t="inlineStr">
        <is>
          <t>5020 — Direct Materials</t>
        </is>
      </c>
      <c r="I11" s="27" t="inlineStr">
        <is>
          <t>Posted</t>
        </is>
      </c>
    </row>
    <row r="12" ht="13" customHeight="1">
      <c r="A12" s="7" t="inlineStr">
        <is>
          <t>07</t>
        </is>
      </c>
      <c r="B12" s="8" t="inlineStr">
        <is>
          <t>05 Jan</t>
        </is>
      </c>
      <c r="C12" s="10" t="inlineStr">
        <is>
          <t>INV-BF-901</t>
        </is>
      </c>
      <c r="D12" s="9" t="inlineStr">
        <is>
          <t>Berjaya Fresh Sdn Bhd</t>
        </is>
      </c>
      <c r="E12" s="55" t="inlineStr">
        <is>
          <t>Purchase Invoice</t>
        </is>
      </c>
      <c r="F12" s="56" t="n">
        <v>2500</v>
      </c>
      <c r="G12" s="57" t="inlineStr">
        <is>
          <t>OUT</t>
        </is>
      </c>
      <c r="H12" s="51" t="inlineStr">
        <is>
          <t>5020 — Direct Materials</t>
        </is>
      </c>
      <c r="I12" s="27" t="inlineStr">
        <is>
          <t>Posted</t>
        </is>
      </c>
    </row>
    <row r="13" ht="13" customHeight="1">
      <c r="A13" s="14" t="inlineStr">
        <is>
          <t>08</t>
        </is>
      </c>
      <c r="B13" s="15" t="inlineStr">
        <is>
          <t>14 Jan</t>
        </is>
      </c>
      <c r="C13" s="17" t="inlineStr">
        <is>
          <t>TNB-JAN25</t>
        </is>
      </c>
      <c r="D13" s="18" t="inlineStr">
        <is>
          <t>TNB Elektrik</t>
        </is>
      </c>
      <c r="E13" s="60" t="inlineStr">
        <is>
          <t>Utility Bill</t>
        </is>
      </c>
      <c r="F13" s="58" t="n">
        <v>780</v>
      </c>
      <c r="G13" s="59" t="inlineStr">
        <is>
          <t>OUT</t>
        </is>
      </c>
      <c r="H13" s="54" t="inlineStr">
        <is>
          <t>6210 — Utilities</t>
        </is>
      </c>
      <c r="I13" s="27" t="inlineStr">
        <is>
          <t>Posted</t>
        </is>
      </c>
    </row>
    <row r="14" ht="13" customHeight="1">
      <c r="A14" s="7" t="inlineStr">
        <is>
          <t>09</t>
        </is>
      </c>
      <c r="B14" s="8" t="inlineStr">
        <is>
          <t>22 Jan</t>
        </is>
      </c>
      <c r="C14" s="10" t="inlineStr">
        <is>
          <t>INV-CC-2025-114</t>
        </is>
      </c>
      <c r="D14" s="9" t="inlineStr">
        <is>
          <t>Cold Chain Sdn Bhd</t>
        </is>
      </c>
      <c r="E14" s="55" t="inlineStr">
        <is>
          <t>Purchase Invoice</t>
        </is>
      </c>
      <c r="F14" s="56" t="n">
        <v>2750</v>
      </c>
      <c r="G14" s="57" t="inlineStr">
        <is>
          <t>OUT</t>
        </is>
      </c>
      <c r="H14" s="51" t="inlineStr">
        <is>
          <t>5020 — Direct Materials</t>
        </is>
      </c>
      <c r="I14" s="27" t="inlineStr">
        <is>
          <t>Posted</t>
        </is>
      </c>
    </row>
    <row r="15" ht="13" customHeight="1">
      <c r="A15" s="14" t="inlineStr">
        <is>
          <t>10</t>
        </is>
      </c>
      <c r="B15" s="15" t="inlineStr">
        <is>
          <t>08 Jan</t>
        </is>
      </c>
      <c r="C15" s="17" t="inlineStr">
        <is>
          <t>PV-2025-004</t>
        </is>
      </c>
      <c r="D15" s="18" t="inlineStr">
        <is>
          <t>Takaful Ikhlas</t>
        </is>
      </c>
      <c r="E15" s="13" t="inlineStr">
        <is>
          <t>Payment Voucher</t>
        </is>
      </c>
      <c r="F15" s="58" t="n">
        <v>6000</v>
      </c>
      <c r="G15" s="59" t="inlineStr">
        <is>
          <t>OUT</t>
        </is>
      </c>
      <c r="H15" s="54" t="inlineStr">
        <is>
          <t>6380/1120 (split)</t>
        </is>
      </c>
      <c r="I15" s="21" t="inlineStr">
        <is>
          <t>Split ✓</t>
        </is>
      </c>
    </row>
    <row r="16" ht="13" customHeight="1">
      <c r="A16" s="7" t="inlineStr">
        <is>
          <t>11</t>
        </is>
      </c>
      <c r="B16" s="8" t="inlineStr">
        <is>
          <t>16 Jan</t>
        </is>
      </c>
      <c r="C16" s="10" t="inlineStr">
        <is>
          <t>PV-2025-007</t>
        </is>
      </c>
      <c r="D16" s="9" t="inlineStr">
        <is>
          <t>Harvey Norman</t>
        </is>
      </c>
      <c r="E16" s="13" t="inlineStr">
        <is>
          <t>Payment Voucher</t>
        </is>
      </c>
      <c r="F16" s="56" t="n">
        <v>8500</v>
      </c>
      <c r="G16" s="57" t="inlineStr">
        <is>
          <t>OUT</t>
        </is>
      </c>
      <c r="H16" s="51" t="inlineStr">
        <is>
          <t>1530 (capitalised)</t>
        </is>
      </c>
      <c r="I16" s="26" t="inlineStr">
        <is>
          <t>Reclassify ✓</t>
        </is>
      </c>
    </row>
    <row r="17" ht="13" customHeight="1">
      <c r="A17" s="14" t="inlineStr">
        <is>
          <t>12</t>
        </is>
      </c>
      <c r="B17" s="15" t="inlineStr">
        <is>
          <t>18 Jan</t>
        </is>
      </c>
      <c r="C17" s="17" t="inlineStr">
        <is>
          <t>PV-2025-009</t>
        </is>
      </c>
      <c r="D17" s="18" t="inlineStr">
        <is>
          <t>Payroll — January 2025</t>
        </is>
      </c>
      <c r="E17" s="13" t="inlineStr">
        <is>
          <t>Payment Voucher</t>
        </is>
      </c>
      <c r="F17" s="58" t="n">
        <v>13450</v>
      </c>
      <c r="G17" s="59" t="inlineStr">
        <is>
          <t>OUT</t>
        </is>
      </c>
      <c r="H17" s="54" t="inlineStr">
        <is>
          <t>6100–2430 (split)</t>
        </is>
      </c>
      <c r="I17" s="21" t="inlineStr">
        <is>
          <t>Split ✓</t>
        </is>
      </c>
    </row>
    <row r="18" ht="13" customHeight="1">
      <c r="A18" s="7" t="inlineStr">
        <is>
          <t>13</t>
        </is>
      </c>
      <c r="B18" s="8" t="inlineStr">
        <is>
          <t>21 Jan</t>
        </is>
      </c>
      <c r="C18" s="10" t="inlineStr">
        <is>
          <t>PV-2025-011</t>
        </is>
      </c>
      <c r="D18" s="9" t="inlineStr">
        <is>
          <t>CIMB Term Loan Repayment</t>
        </is>
      </c>
      <c r="E18" s="13" t="inlineStr">
        <is>
          <t>Payment Voucher</t>
        </is>
      </c>
      <c r="F18" s="56" t="n">
        <v>2100</v>
      </c>
      <c r="G18" s="57" t="inlineStr">
        <is>
          <t>OUT</t>
        </is>
      </c>
      <c r="H18" s="51" t="inlineStr">
        <is>
          <t>2700/6600 (split)</t>
        </is>
      </c>
      <c r="I18" s="21" t="inlineStr">
        <is>
          <t>Split ✓</t>
        </is>
      </c>
    </row>
    <row r="19" ht="13" customHeight="1">
      <c r="A19" s="14" t="inlineStr">
        <is>
          <t>14</t>
        </is>
      </c>
      <c r="B19" s="15" t="inlineStr">
        <is>
          <t>15 Jan</t>
        </is>
      </c>
      <c r="C19" s="17" t="inlineStr">
        <is>
          <t>MEMO-DIR-01</t>
        </is>
      </c>
      <c r="D19" s="18" t="inlineStr">
        <is>
          <t>Director Transfer In</t>
        </is>
      </c>
      <c r="E19" s="21" t="inlineStr">
        <is>
          <t>Internal Memo</t>
        </is>
      </c>
      <c r="F19" s="52" t="n">
        <v>5000</v>
      </c>
      <c r="G19" s="53" t="inlineStr">
        <is>
          <t>IN</t>
        </is>
      </c>
      <c r="H19" s="54" t="inlineStr">
        <is>
          <t>2800 (reclassify)</t>
        </is>
      </c>
      <c r="I19" s="26" t="inlineStr">
        <is>
          <t>Reclassify ✓</t>
        </is>
      </c>
    </row>
    <row r="20" ht="13" customHeight="1">
      <c r="A20" s="7" t="inlineStr">
        <is>
          <t>15</t>
        </is>
      </c>
      <c r="B20" s="8" t="inlineStr">
        <is>
          <t>31 Jan</t>
        </is>
      </c>
      <c r="C20" s="10" t="inlineStr">
        <is>
          <t>BANK-INT-JAN</t>
        </is>
      </c>
      <c r="D20" s="9" t="inlineStr">
        <is>
          <t>CIMB Bank Interest</t>
        </is>
      </c>
      <c r="E20" s="25" t="inlineStr">
        <is>
          <t>Bank Advice</t>
        </is>
      </c>
      <c r="F20" s="49" t="n">
        <v>35</v>
      </c>
      <c r="G20" s="50" t="inlineStr">
        <is>
          <t>IN</t>
        </is>
      </c>
      <c r="H20" s="51" t="inlineStr">
        <is>
          <t>4300 — Interest Income</t>
        </is>
      </c>
      <c r="I20" s="27" t="inlineStr">
        <is>
          <t>Posted</t>
        </is>
      </c>
    </row>
  </sheetData>
  <mergeCells count="3">
    <mergeCell ref="A1:I2"/>
    <mergeCell ref="A4:I4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4" customWidth="1" min="4" max="4"/>
    <col width="8" customWidth="1" min="5" max="5"/>
    <col width="16" customWidth="1" min="6" max="6"/>
    <col width="30" customWidth="1" min="7" max="7"/>
    <col width="12" customWidth="1" min="8" max="8"/>
  </cols>
  <sheetData>
    <row r="1" ht="22" customHeight="1">
      <c r="A1" s="37" t="inlineStr">
        <is>
          <t>BANK VERIFICATION SHEET — WP 2</t>
        </is>
      </c>
    </row>
    <row r="2" ht="6" customHeight="1"/>
    <row r="3">
      <c r="A3" s="2" t="inlineStr">
        <is>
          <t>CIMB Current Account  |  January 2025  |  Loaded after all documents posted</t>
        </is>
      </c>
    </row>
    <row r="4" ht="4" customHeight="1">
      <c r="A4" s="3" t="n"/>
    </row>
    <row r="5">
      <c r="A5" s="5" t="inlineStr">
        <is>
          <t>#</t>
        </is>
      </c>
      <c r="B5" s="5" t="inlineStr">
        <is>
          <t>Date</t>
        </is>
      </c>
      <c r="C5" s="5" t="inlineStr">
        <is>
          <t>Bank Description</t>
        </is>
      </c>
      <c r="D5" s="5" t="inlineStr">
        <is>
          <t>Amount (RM)</t>
        </is>
      </c>
      <c r="E5" s="5" t="inlineStr">
        <is>
          <t>Dir</t>
        </is>
      </c>
      <c r="F5" s="5" t="inlineStr">
        <is>
          <t>Status</t>
        </is>
      </c>
      <c r="G5" s="5" t="inlineStr">
        <is>
          <t>Matched to Doc(s)</t>
        </is>
      </c>
      <c r="H5" s="5" t="inlineStr">
        <is>
          <t>Remarks</t>
        </is>
      </c>
    </row>
    <row r="6" ht="13" customHeight="1">
      <c r="A6" s="7" t="inlineStr">
        <is>
          <t>01</t>
        </is>
      </c>
      <c r="B6" s="8" t="inlineStr">
        <is>
          <t>03 Jan</t>
        </is>
      </c>
      <c r="C6" s="9" t="inlineStr">
        <is>
          <t>Maya Food Supply — IBG</t>
        </is>
      </c>
      <c r="D6" s="49" t="n">
        <v>12500</v>
      </c>
      <c r="E6" s="50" t="inlineStr">
        <is>
          <t>CR</t>
        </is>
      </c>
      <c r="F6" s="27" t="inlineStr">
        <is>
          <t>Matched</t>
        </is>
      </c>
      <c r="G6" s="51" t="inlineStr">
        <is>
          <t>INV-2025-001</t>
        </is>
      </c>
      <c r="H6" s="61" t="inlineStr">
        <is>
          <t>1-to-1</t>
        </is>
      </c>
    </row>
    <row r="7" ht="13" customHeight="1">
      <c r="A7" s="14" t="inlineStr">
        <is>
          <t>02</t>
        </is>
      </c>
      <c r="B7" s="15" t="inlineStr">
        <is>
          <t>05 Jan</t>
        </is>
      </c>
      <c r="C7" s="62" t="inlineStr">
        <is>
          <t>Berjaya Fresh — Bulk Payment</t>
        </is>
      </c>
      <c r="D7" s="58" t="n">
        <v>9800</v>
      </c>
      <c r="E7" s="59" t="inlineStr">
        <is>
          <t>DR</t>
        </is>
      </c>
      <c r="F7" s="13" t="inlineStr">
        <is>
          <t>Multi-Doc</t>
        </is>
      </c>
      <c r="G7" s="54" t="inlineStr">
        <is>
          <t>INV-BF-881 + INV-BF-894 + INV-BF-901</t>
        </is>
      </c>
      <c r="H7" s="63" t="inlineStr">
        <is>
          <t>3 invoices</t>
        </is>
      </c>
    </row>
    <row r="8" ht="13" customHeight="1">
      <c r="A8" s="7" t="inlineStr">
        <is>
          <t>03</t>
        </is>
      </c>
      <c r="B8" s="8" t="inlineStr">
        <is>
          <t>07 Jan</t>
        </is>
      </c>
      <c r="C8" s="64" t="inlineStr">
        <is>
          <t>CIMB Bank Charges</t>
        </is>
      </c>
      <c r="D8" s="56" t="n">
        <v>25</v>
      </c>
      <c r="E8" s="57" t="inlineStr">
        <is>
          <t>DR</t>
        </is>
      </c>
      <c r="F8" s="21" t="inlineStr">
        <is>
          <t>Added (Bank+)</t>
        </is>
      </c>
      <c r="G8" s="51" t="inlineStr">
        <is>
          <t>No doc — 6370 Bank Charges</t>
        </is>
      </c>
      <c r="H8" s="61" t="inlineStr">
        <is>
          <t>Standing</t>
        </is>
      </c>
    </row>
    <row r="9" ht="13" customHeight="1">
      <c r="A9" s="14" t="inlineStr">
        <is>
          <t>04</t>
        </is>
      </c>
      <c r="B9" s="15" t="inlineStr">
        <is>
          <t>08 Jan</t>
        </is>
      </c>
      <c r="C9" s="18" t="inlineStr">
        <is>
          <t>Takaful Ikhlas — Annual Insurance</t>
        </is>
      </c>
      <c r="D9" s="58" t="n">
        <v>6000</v>
      </c>
      <c r="E9" s="59" t="inlineStr">
        <is>
          <t>DR</t>
        </is>
      </c>
      <c r="F9" s="27" t="inlineStr">
        <is>
          <t>Matched</t>
        </is>
      </c>
      <c r="G9" s="54" t="inlineStr">
        <is>
          <t>PV-2025-004 (split)</t>
        </is>
      </c>
      <c r="H9" s="63" t="inlineStr">
        <is>
          <t>Prepayment</t>
        </is>
      </c>
    </row>
    <row r="10" ht="13" customHeight="1">
      <c r="A10" s="7" t="inlineStr">
        <is>
          <t>05</t>
        </is>
      </c>
      <c r="B10" s="8" t="inlineStr">
        <is>
          <t>08 Jan</t>
        </is>
      </c>
      <c r="C10" s="64" t="inlineStr">
        <is>
          <t>Sunway Property — Monthly Rent</t>
        </is>
      </c>
      <c r="D10" s="56" t="n">
        <v>4500</v>
      </c>
      <c r="E10" s="57" t="inlineStr">
        <is>
          <t>DR</t>
        </is>
      </c>
      <c r="F10" s="21" t="inlineStr">
        <is>
          <t>Added (Bank+)</t>
        </is>
      </c>
      <c r="G10" s="51" t="inlineStr">
        <is>
          <t>No doc — 6200 Rent Expense</t>
        </is>
      </c>
      <c r="H10" s="61" t="inlineStr">
        <is>
          <t>Standing</t>
        </is>
      </c>
    </row>
    <row r="11" ht="13" customHeight="1">
      <c r="A11" s="14" t="inlineStr">
        <is>
          <t>06</t>
        </is>
      </c>
      <c r="B11" s="15" t="inlineStr">
        <is>
          <t>14 Jan</t>
        </is>
      </c>
      <c r="C11" s="18" t="inlineStr">
        <is>
          <t>TNB Elektrik</t>
        </is>
      </c>
      <c r="D11" s="58" t="n">
        <v>780</v>
      </c>
      <c r="E11" s="59" t="inlineStr">
        <is>
          <t>DR</t>
        </is>
      </c>
      <c r="F11" s="27" t="inlineStr">
        <is>
          <t>Matched</t>
        </is>
      </c>
      <c r="G11" s="54" t="inlineStr">
        <is>
          <t>TNB-JAN25</t>
        </is>
      </c>
      <c r="H11" s="63" t="inlineStr">
        <is>
          <t>1-to-1</t>
        </is>
      </c>
    </row>
    <row r="12" ht="13" customHeight="1">
      <c r="A12" s="7" t="inlineStr">
        <is>
          <t>07</t>
        </is>
      </c>
      <c r="B12" s="8" t="inlineStr">
        <is>
          <t>16 Jan</t>
        </is>
      </c>
      <c r="C12" s="9" t="inlineStr">
        <is>
          <t>Harvey Norman</t>
        </is>
      </c>
      <c r="D12" s="56" t="n">
        <v>8500</v>
      </c>
      <c r="E12" s="57" t="inlineStr">
        <is>
          <t>DR</t>
        </is>
      </c>
      <c r="F12" s="27" t="inlineStr">
        <is>
          <t>Matched</t>
        </is>
      </c>
      <c r="G12" s="51" t="inlineStr">
        <is>
          <t>PV-2025-007 (capitalised)</t>
        </is>
      </c>
      <c r="H12" s="61" t="inlineStr">
        <is>
          <t>Asset</t>
        </is>
      </c>
    </row>
    <row r="13" ht="13" customHeight="1">
      <c r="A13" s="14" t="inlineStr">
        <is>
          <t>08</t>
        </is>
      </c>
      <c r="B13" s="15" t="inlineStr">
        <is>
          <t>18 Jan</t>
        </is>
      </c>
      <c r="C13" s="18" t="inlineStr">
        <is>
          <t>Payroll Bulk Transfer</t>
        </is>
      </c>
      <c r="D13" s="58" t="n">
        <v>13450</v>
      </c>
      <c r="E13" s="59" t="inlineStr">
        <is>
          <t>DR</t>
        </is>
      </c>
      <c r="F13" s="27" t="inlineStr">
        <is>
          <t>Matched</t>
        </is>
      </c>
      <c r="G13" s="54" t="inlineStr">
        <is>
          <t>PV-2025-009 (payroll split)</t>
        </is>
      </c>
      <c r="H13" s="63" t="inlineStr">
        <is>
          <t>Payroll</t>
        </is>
      </c>
    </row>
    <row r="14" ht="13" customHeight="1">
      <c r="A14" s="7" t="inlineStr">
        <is>
          <t>09</t>
        </is>
      </c>
      <c r="B14" s="8" t="inlineStr">
        <is>
          <t>20 Jan</t>
        </is>
      </c>
      <c r="C14" s="64" t="inlineStr">
        <is>
          <t>Maya Food — Bulk Settlement</t>
        </is>
      </c>
      <c r="D14" s="49" t="n">
        <v>20700</v>
      </c>
      <c r="E14" s="50" t="inlineStr">
        <is>
          <t>CR</t>
        </is>
      </c>
      <c r="F14" s="13" t="inlineStr">
        <is>
          <t>Multi-Doc</t>
        </is>
      </c>
      <c r="G14" s="51" t="inlineStr">
        <is>
          <t>INV-2025-003 + INV-2025-004</t>
        </is>
      </c>
      <c r="H14" s="61" t="inlineStr">
        <is>
          <t>2 invoices</t>
        </is>
      </c>
    </row>
    <row r="15" ht="13" customHeight="1">
      <c r="A15" s="14" t="inlineStr">
        <is>
          <t>10</t>
        </is>
      </c>
      <c r="B15" s="15" t="inlineStr">
        <is>
          <t>21 Jan</t>
        </is>
      </c>
      <c r="C15" s="18" t="inlineStr">
        <is>
          <t>CIMB Loan Repayment</t>
        </is>
      </c>
      <c r="D15" s="58" t="n">
        <v>2100</v>
      </c>
      <c r="E15" s="59" t="inlineStr">
        <is>
          <t>DR</t>
        </is>
      </c>
      <c r="F15" s="27" t="inlineStr">
        <is>
          <t>Matched</t>
        </is>
      </c>
      <c r="G15" s="54" t="inlineStr">
        <is>
          <t>PV-2025-011 (loan split)</t>
        </is>
      </c>
      <c r="H15" s="63" t="inlineStr">
        <is>
          <t>1-to-1</t>
        </is>
      </c>
    </row>
    <row r="16" ht="13" customHeight="1">
      <c r="A16" s="7" t="inlineStr">
        <is>
          <t>11</t>
        </is>
      </c>
      <c r="B16" s="8" t="inlineStr">
        <is>
          <t>22 Jan</t>
        </is>
      </c>
      <c r="C16" s="9" t="inlineStr">
        <is>
          <t>Cold Chain Sdn Bhd</t>
        </is>
      </c>
      <c r="D16" s="56" t="n">
        <v>2750</v>
      </c>
      <c r="E16" s="57" t="inlineStr">
        <is>
          <t>DR</t>
        </is>
      </c>
      <c r="F16" s="27" t="inlineStr">
        <is>
          <t>Matched</t>
        </is>
      </c>
      <c r="G16" s="51" t="inlineStr">
        <is>
          <t>INV-CC-2025-114</t>
        </is>
      </c>
      <c r="H16" s="61" t="inlineStr">
        <is>
          <t>1-to-1</t>
        </is>
      </c>
    </row>
    <row r="17" ht="13" customHeight="1">
      <c r="A17" s="14" t="inlineStr">
        <is>
          <t>12</t>
        </is>
      </c>
      <c r="B17" s="15" t="inlineStr">
        <is>
          <t>27 Jan</t>
        </is>
      </c>
      <c r="C17" s="18" t="inlineStr">
        <is>
          <t>Grab Food Payout W4</t>
        </is>
      </c>
      <c r="D17" s="52" t="n">
        <v>7120</v>
      </c>
      <c r="E17" s="53" t="inlineStr">
        <is>
          <t>CR</t>
        </is>
      </c>
      <c r="F17" s="27" t="inlineStr">
        <is>
          <t>Matched</t>
        </is>
      </c>
      <c r="G17" s="54" t="inlineStr">
        <is>
          <t>GRAB-W4-JAN</t>
        </is>
      </c>
      <c r="H17" s="63" t="inlineStr">
        <is>
          <t>1-to-1</t>
        </is>
      </c>
    </row>
    <row r="18" ht="13" customHeight="1">
      <c r="A18" s="7" t="inlineStr">
        <is>
          <t>13</t>
        </is>
      </c>
      <c r="B18" s="8" t="inlineStr">
        <is>
          <t>31 Jan</t>
        </is>
      </c>
      <c r="C18" s="9" t="inlineStr">
        <is>
          <t>CIMB Interest Income</t>
        </is>
      </c>
      <c r="D18" s="49" t="n">
        <v>35</v>
      </c>
      <c r="E18" s="50" t="inlineStr">
        <is>
          <t>CR</t>
        </is>
      </c>
      <c r="F18" s="27" t="inlineStr">
        <is>
          <t>Matched</t>
        </is>
      </c>
      <c r="G18" s="51" t="inlineStr">
        <is>
          <t>BANK-INT-JAN</t>
        </is>
      </c>
      <c r="H18" s="61" t="inlineStr">
        <is>
          <t>1-to-1</t>
        </is>
      </c>
    </row>
    <row r="19" ht="13" customHeight="1">
      <c r="A19" s="14" t="inlineStr">
        <is>
          <t>—</t>
        </is>
      </c>
      <c r="B19" s="15" t="inlineStr">
        <is>
          <t>29 Jan</t>
        </is>
      </c>
      <c r="C19" s="62" t="inlineStr">
        <is>
          <t>Cheque #001234 — Pak Ali Supplier</t>
        </is>
      </c>
      <c r="D19" s="58" t="n">
        <v>1200</v>
      </c>
      <c r="E19" s="59" t="inlineStr">
        <is>
          <t>DR</t>
        </is>
      </c>
      <c r="F19" s="26" t="inlineStr">
        <is>
          <t>Outstanding (Timing)</t>
        </is>
      </c>
      <c r="G19" s="54" t="inlineStr">
        <is>
          <t>PV-2025-014 — issued, not presented</t>
        </is>
      </c>
      <c r="H19" s="63" t="inlineStr">
        <is>
          <t>Timing item</t>
        </is>
      </c>
    </row>
    <row r="21">
      <c r="A21" s="65" t="inlineStr">
        <is>
          <t>BANK RECONCILIATION SUMMARY</t>
        </is>
      </c>
    </row>
    <row r="22">
      <c r="A22" s="66" t="inlineStr">
        <is>
          <t>Bank Statement Closing Balance</t>
        </is>
      </c>
      <c r="G22" s="67" t="n">
        <v>48320</v>
      </c>
    </row>
  </sheetData>
  <mergeCells count="5">
    <mergeCell ref="A4:H4"/>
    <mergeCell ref="A3:H3"/>
    <mergeCell ref="A21:H21"/>
    <mergeCell ref="A22:F22"/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 ht="22" customHeight="1">
      <c r="A1" s="68" t="inlineStr">
        <is>
          <t>ADJUSTING ENTRIES — January 2025</t>
        </is>
      </c>
    </row>
    <row r="2" ht="6" customHeight="1"/>
    <row r="3">
      <c r="A3" s="2" t="inlineStr">
        <is>
          <t>Period-end entries — no bank movement. All feed into Journal Voucher.</t>
        </is>
      </c>
    </row>
    <row r="4" ht="4" customHeight="1">
      <c r="A4" s="3" t="n"/>
    </row>
    <row r="5">
      <c r="A5" s="5" t="inlineStr">
        <is>
          <t>#</t>
        </is>
      </c>
      <c r="B5" s="5" t="inlineStr">
        <is>
          <t>Date</t>
        </is>
      </c>
      <c r="C5" s="5" t="inlineStr">
        <is>
          <t>Description</t>
        </is>
      </c>
      <c r="D5" s="5" t="inlineStr">
        <is>
          <t>Debit Account</t>
        </is>
      </c>
      <c r="E5" s="5" t="inlineStr">
        <is>
          <t>Credit Account</t>
        </is>
      </c>
      <c r="F5" s="5" t="inlineStr">
        <is>
          <t>Amount (RM)</t>
        </is>
      </c>
      <c r="G5" s="5" t="inlineStr">
        <is>
          <t>Reversal</t>
        </is>
      </c>
    </row>
    <row r="6" ht="13" customHeight="1">
      <c r="A6" s="69" t="inlineStr">
        <is>
          <t>ADJ-01</t>
        </is>
      </c>
      <c r="B6" s="8" t="inlineStr">
        <is>
          <t>31 Jan</t>
        </is>
      </c>
      <c r="C6" s="9" t="inlineStr">
        <is>
          <t>Electricity accrual — Dec bill not received</t>
        </is>
      </c>
      <c r="D6" s="70" t="inlineStr">
        <is>
          <t>6210 — Utilities Electricity</t>
        </is>
      </c>
      <c r="E6" s="71" t="inlineStr">
        <is>
          <t>2110 — Accrued Liabilities</t>
        </is>
      </c>
      <c r="F6" s="56" t="n">
        <v>650</v>
      </c>
      <c r="G6" s="21" t="inlineStr">
        <is>
          <t>Reverse Feb</t>
        </is>
      </c>
    </row>
    <row r="7" ht="13" customHeight="1">
      <c r="A7" s="72" t="inlineStr">
        <is>
          <t>ADJ-02</t>
        </is>
      </c>
      <c r="B7" s="15" t="inlineStr">
        <is>
          <t>31 Jan</t>
        </is>
      </c>
      <c r="C7" s="18" t="inlineStr">
        <is>
          <t>Salary accrual — last 3 days Jan paid 5 Feb</t>
        </is>
      </c>
      <c r="D7" s="73" t="inlineStr">
        <is>
          <t>6100 — Salaries &amp; Wages</t>
        </is>
      </c>
      <c r="E7" s="74" t="inlineStr">
        <is>
          <t>2110 — Accrued Liabilities</t>
        </is>
      </c>
      <c r="F7" s="58" t="n">
        <v>1200</v>
      </c>
      <c r="G7" s="21" t="inlineStr">
        <is>
          <t>Reverse Feb</t>
        </is>
      </c>
    </row>
    <row r="8" ht="13" customHeight="1">
      <c r="A8" s="69" t="inlineStr">
        <is>
          <t>ADJ-03</t>
        </is>
      </c>
      <c r="B8" s="8" t="inlineStr">
        <is>
          <t>31 Jan</t>
        </is>
      </c>
      <c r="C8" s="9" t="inlineStr">
        <is>
          <t>Audit fee accrual — estimated year-end</t>
        </is>
      </c>
      <c r="D8" s="70" t="inlineStr">
        <is>
          <t>6320 — Audit Fees</t>
        </is>
      </c>
      <c r="E8" s="71" t="inlineStr">
        <is>
          <t>2110 — Accrued Liabilities</t>
        </is>
      </c>
      <c r="F8" s="56" t="n">
        <v>3500</v>
      </c>
      <c r="G8" s="60" t="inlineStr">
        <is>
          <t>No reversal</t>
        </is>
      </c>
    </row>
    <row r="9" ht="13" customHeight="1">
      <c r="A9" s="72" t="inlineStr">
        <is>
          <t>ADJ-04</t>
        </is>
      </c>
      <c r="B9" s="15" t="inlineStr">
        <is>
          <t>31 Jan</t>
        </is>
      </c>
      <c r="C9" s="18" t="inlineStr">
        <is>
          <t>Depreciation — refrigerator Jan 2025</t>
        </is>
      </c>
      <c r="D9" s="73" t="inlineStr">
        <is>
          <t>6700 — Depreciation Expense</t>
        </is>
      </c>
      <c r="E9" s="74" t="inlineStr">
        <is>
          <t>1590 — Accum. Depreciation</t>
        </is>
      </c>
      <c r="F9" s="58" t="n">
        <v>133.33</v>
      </c>
      <c r="G9" s="60" t="inlineStr">
        <is>
          <t>No reversal</t>
        </is>
      </c>
    </row>
  </sheetData>
  <mergeCells count="3">
    <mergeCell ref="A3:G3"/>
    <mergeCell ref="A4:G4"/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20" customWidth="1" min="5" max="5"/>
    <col width="20" customWidth="1" min="6" max="6"/>
  </cols>
  <sheetData>
    <row r="1" ht="22" customHeight="1">
      <c r="A1" s="37" t="inlineStr">
        <is>
          <t>NEXT SESSION CHECKLIST — February 2025</t>
        </is>
      </c>
    </row>
    <row r="2" ht="6" customHeight="1"/>
    <row r="3">
      <c r="A3" s="2" t="inlineStr">
        <is>
          <t>Generated from January 2025 session  |  The Suburban Food Sdn Bhd  |  Read this before starting next month</t>
        </is>
      </c>
    </row>
    <row r="4" ht="4" customHeight="1">
      <c r="A4" s="3" t="n"/>
    </row>
    <row r="5">
      <c r="A5" s="5" t="inlineStr">
        <is>
          <t>✓</t>
        </is>
      </c>
      <c r="B5" s="5" t="inlineStr">
        <is>
          <t>Action / Item</t>
        </is>
      </c>
      <c r="C5" s="5" t="inlineStr">
        <is>
          <t>Entry / Reference</t>
        </is>
      </c>
      <c r="D5" s="5" t="inlineStr">
        <is>
          <t>Amount (RM)</t>
        </is>
      </c>
      <c r="E5" s="5" t="inlineStr">
        <is>
          <t>Notes</t>
        </is>
      </c>
      <c r="F5" s="5" t="inlineStr">
        <is>
          <t>Type</t>
        </is>
      </c>
    </row>
    <row r="6" ht="15" customHeight="1">
      <c r="A6" s="43" t="inlineStr">
        <is>
          <t>MUST DO FIRST — before posting any new documents</t>
        </is>
      </c>
    </row>
    <row r="7" ht="14" customHeight="1">
      <c r="A7" s="75" t="inlineStr">
        <is>
          <t>□</t>
        </is>
      </c>
      <c r="B7" s="76" t="inlineStr">
        <is>
          <t>Reverse electricity accrual</t>
        </is>
      </c>
      <c r="C7" s="77" t="inlineStr">
        <is>
          <t>DR: 2110  CR: 6210</t>
        </is>
      </c>
      <c r="D7" s="78" t="inlineStr">
        <is>
          <t>RM 650.00</t>
        </is>
      </c>
      <c r="E7" s="77" t="inlineStr">
        <is>
          <t>Posted Jan, must unwind before new bills post</t>
        </is>
      </c>
      <c r="F7" s="79" t="inlineStr">
        <is>
          <t>REVERSAL</t>
        </is>
      </c>
    </row>
    <row r="8" ht="14" customHeight="1">
      <c r="A8" s="75" t="inlineStr">
        <is>
          <t>□</t>
        </is>
      </c>
      <c r="B8" s="76" t="inlineStr">
        <is>
          <t>Reverse salary accrual</t>
        </is>
      </c>
      <c r="C8" s="77" t="inlineStr">
        <is>
          <t>DR: 2110  CR: 6100</t>
        </is>
      </c>
      <c r="D8" s="78" t="inlineStr">
        <is>
          <t>RM 1,200.00</t>
        </is>
      </c>
      <c r="E8" s="77" t="inlineStr">
        <is>
          <t>Posted Jan, must unwind before Feb payroll</t>
        </is>
      </c>
      <c r="F8" s="79" t="inlineStr">
        <is>
          <t>REVERSAL</t>
        </is>
      </c>
    </row>
    <row r="9" ht="15" customHeight="1">
      <c r="A9" s="48" t="inlineStr">
        <is>
          <t>RECURRING THIS MONTH — enter in adjusting entries</t>
        </is>
      </c>
    </row>
    <row r="10" ht="14" customHeight="1">
      <c r="A10" s="75" t="inlineStr">
        <is>
          <t>□</t>
        </is>
      </c>
      <c r="B10" s="76" t="inlineStr">
        <is>
          <t>Depreciation — refrigerator</t>
        </is>
      </c>
      <c r="C10" s="77" t="inlineStr">
        <is>
          <t>DR: 6700  CR: 1590</t>
        </is>
      </c>
      <c r="D10" s="78" t="inlineStr">
        <is>
          <t>RM 133.33</t>
        </is>
      </c>
      <c r="E10" s="77" t="inlineStr">
        <is>
          <t>Month 2 of 60. Ref: Depreciation Schedule tab</t>
        </is>
      </c>
      <c r="F10" s="21" t="inlineStr">
        <is>
          <t>MONTHLY</t>
        </is>
      </c>
    </row>
    <row r="11" ht="14" customHeight="1">
      <c r="A11" s="75" t="inlineStr">
        <is>
          <t>□</t>
        </is>
      </c>
      <c r="B11" s="76" t="inlineStr">
        <is>
          <t>Prepaid insurance release</t>
        </is>
      </c>
      <c r="C11" s="77" t="inlineStr">
        <is>
          <t>DR: 6380  CR: 1120</t>
        </is>
      </c>
      <c r="D11" s="78" t="inlineStr">
        <is>
          <t>RM 500.00</t>
        </is>
      </c>
      <c r="E11" s="77" t="inlineStr">
        <is>
          <t>Month 2 of 12. Ref: Prepaid Schedule tab</t>
        </is>
      </c>
      <c r="F11" s="21" t="inlineStr">
        <is>
          <t>MONTHLY</t>
        </is>
      </c>
    </row>
    <row r="12" ht="15" customHeight="1">
      <c r="A12" s="6" t="inlineStr">
        <is>
          <t>ITEMS TO WATCH — check against Feb bank statement</t>
        </is>
      </c>
    </row>
    <row r="13" ht="14" customHeight="1">
      <c r="A13" s="75" t="inlineStr">
        <is>
          <t>□</t>
        </is>
      </c>
      <c r="B13" s="80" t="inlineStr">
        <is>
          <t>Outstanding cheque #001234</t>
        </is>
      </c>
      <c r="C13" s="77" t="inlineStr">
        <is>
          <t>Pak Ali Supplier</t>
        </is>
      </c>
      <c r="D13" s="78" t="inlineStr">
        <is>
          <t>RM 1,200.00</t>
        </is>
      </c>
      <c r="E13" s="77" t="inlineStr">
        <is>
          <t>Issued Jan 29. Should clear in Feb bank statement</t>
        </is>
      </c>
      <c r="F13" s="26" t="inlineStr">
        <is>
          <t>TIMING</t>
        </is>
      </c>
    </row>
    <row r="14" ht="14" customHeight="1">
      <c r="A14" s="75" t="inlineStr">
        <is>
          <t>□</t>
        </is>
      </c>
      <c r="B14" s="80" t="inlineStr">
        <is>
          <t>INV-BF-914 — Berjaya Fresh</t>
        </is>
      </c>
      <c r="C14" s="77" t="inlineStr">
        <is>
          <t>Not yet paid</t>
        </is>
      </c>
      <c r="D14" s="78" t="inlineStr">
        <is>
          <t>RM 1,880.00</t>
        </is>
      </c>
      <c r="E14" s="77" t="inlineStr">
        <is>
          <t>Left unpaid Jan. Expected to appear Feb.</t>
        </is>
      </c>
      <c r="F14" s="55" t="inlineStr">
        <is>
          <t>UNPAID</t>
        </is>
      </c>
    </row>
    <row r="15" ht="14" customHeight="1">
      <c r="A15" s="75" t="inlineStr">
        <is>
          <t>□</t>
        </is>
      </c>
      <c r="B15" s="80" t="inlineStr">
        <is>
          <t>Director board resolution</t>
        </is>
      </c>
      <c r="C15" s="77" t="inlineStr">
        <is>
          <t>Memo-DIR-01</t>
        </is>
      </c>
      <c r="D15" s="81" t="inlineStr">
        <is>
          <t>—</t>
        </is>
      </c>
      <c r="E15" s="77" t="inlineStr">
        <is>
          <t>Still outstanding. Follow up before session.</t>
        </is>
      </c>
      <c r="F15" s="13" t="inlineStr">
        <is>
          <t>PENDING</t>
        </is>
      </c>
    </row>
    <row r="16" ht="15" customHeight="1">
      <c r="A16" s="45" t="inlineStr">
        <is>
          <t>OPENING BALANCE — enter if tool requires it</t>
        </is>
      </c>
    </row>
    <row r="17" ht="14" customHeight="1">
      <c r="A17" s="75" t="inlineStr"/>
      <c r="B17" s="80" t="inlineStr">
        <is>
          <t>CIMB Current Account</t>
        </is>
      </c>
      <c r="C17" s="77" t="inlineStr">
        <is>
          <t>Closing Jan 2025</t>
        </is>
      </c>
      <c r="D17" s="78" t="inlineStr">
        <is>
          <t>RM 48,320.00</t>
        </is>
      </c>
      <c r="E17" s="77" t="inlineStr">
        <is>
          <t>Use as opening balance reference</t>
        </is>
      </c>
      <c r="F17" s="27" t="inlineStr">
        <is>
          <t>BALANCE</t>
        </is>
      </c>
    </row>
    <row r="18" ht="15" customHeight="1">
      <c r="A18" s="82" t="inlineStr">
        <is>
          <t>NOTES</t>
        </is>
      </c>
    </row>
    <row r="19" ht="14" customHeight="1">
      <c r="A19" s="75" t="inlineStr"/>
      <c r="B19" s="80" t="inlineStr">
        <is>
          <t>Audit fee accrual RM 3,500 (ADJ-03)</t>
        </is>
      </c>
      <c r="C19" s="77" t="inlineStr">
        <is>
          <t>No reversal needed</t>
        </is>
      </c>
      <c r="D19" s="81" t="inlineStr">
        <is>
          <t>—</t>
        </is>
      </c>
      <c r="E19" s="77" t="inlineStr">
        <is>
          <t>Will be replaced when actual invoice arrives</t>
        </is>
      </c>
      <c r="F19" s="60" t="inlineStr">
        <is>
          <t>INFO</t>
        </is>
      </c>
    </row>
    <row r="20" ht="14" customHeight="1">
      <c r="A20" s="75" t="inlineStr"/>
      <c r="B20" s="80" t="inlineStr">
        <is>
          <t>Prepaid insurance remaining</t>
        </is>
      </c>
      <c r="C20" s="77" t="inlineStr">
        <is>
          <t>RM 5,500 balance</t>
        </is>
      </c>
      <c r="D20" s="81" t="inlineStr">
        <is>
          <t>10 months left</t>
        </is>
      </c>
      <c r="E20" s="77" t="inlineStr">
        <is>
          <t>Releases RM 500/month until Dec 2025</t>
        </is>
      </c>
      <c r="F20" s="60" t="inlineStr">
        <is>
          <t>INFO</t>
        </is>
      </c>
    </row>
  </sheetData>
  <mergeCells count="8">
    <mergeCell ref="A16:F16"/>
    <mergeCell ref="A9:F9"/>
    <mergeCell ref="A1:F2"/>
    <mergeCell ref="A6:F6"/>
    <mergeCell ref="A12:F12"/>
    <mergeCell ref="A4:F4"/>
    <mergeCell ref="A18:F1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2" customHeight="1">
      <c r="A1" s="68" t="inlineStr">
        <is>
          <t>DEPRECIATION SCHEDULE — Persistent File (Update each month)</t>
        </is>
      </c>
    </row>
    <row r="2" ht="6" customHeight="1"/>
    <row r="3">
      <c r="A3" s="2" t="inlineStr">
        <is>
          <t>Keep this file. Reference it each session to enter the correct depreciation amount in adjusting entries.</t>
        </is>
      </c>
    </row>
    <row r="4" ht="4" customHeight="1">
      <c r="A4" s="3" t="n"/>
    </row>
    <row r="5" ht="13" customHeight="1">
      <c r="A5" s="83" t="inlineStr">
        <is>
          <t>⚠  Yellow cells = inputs to update when adding new assets. Black cells = formulas — do not edit.</t>
        </is>
      </c>
    </row>
    <row r="6">
      <c r="A6" s="5" t="inlineStr">
        <is>
          <t>#</t>
        </is>
      </c>
      <c r="B6" s="5" t="inlineStr">
        <is>
          <t>Asset Description</t>
        </is>
      </c>
      <c r="C6" s="5" t="inlineStr">
        <is>
          <t>Cost (RM)</t>
        </is>
      </c>
      <c r="D6" s="5" t="inlineStr">
        <is>
          <t>Residual (RM)</t>
        </is>
      </c>
      <c r="E6" s="5" t="inlineStr">
        <is>
          <t>Life (Mths)</t>
        </is>
      </c>
      <c r="F6" s="5" t="inlineStr">
        <is>
          <t>Start Date</t>
        </is>
      </c>
      <c r="G6" s="5" t="inlineStr">
        <is>
          <t>Monthly Dep.</t>
        </is>
      </c>
      <c r="H6" s="5" t="inlineStr">
        <is>
          <t>Jan-25</t>
        </is>
      </c>
      <c r="I6" s="5" t="inlineStr">
        <is>
          <t>Feb-25</t>
        </is>
      </c>
      <c r="J6" s="5" t="inlineStr">
        <is>
          <t>Mar-25</t>
        </is>
      </c>
      <c r="K6" s="5" t="inlineStr">
        <is>
          <t>...</t>
        </is>
      </c>
    </row>
    <row r="7">
      <c r="A7" s="47" t="inlineStr">
        <is>
          <t>ACTIVE ASSETS</t>
        </is>
      </c>
    </row>
    <row r="8" ht="14" customHeight="1">
      <c r="A8" s="7" t="inlineStr">
        <is>
          <t>01</t>
        </is>
      </c>
      <c r="B8" s="9" t="inlineStr">
        <is>
          <t>Commercial Refrigerator</t>
        </is>
      </c>
      <c r="C8" s="84" t="n">
        <v>8500</v>
      </c>
      <c r="D8" s="84" t="n">
        <v>500</v>
      </c>
      <c r="E8" s="85" t="n">
        <v>60</v>
      </c>
      <c r="F8" s="8" t="inlineStr">
        <is>
          <t>Jan-25</t>
        </is>
      </c>
      <c r="G8" s="86">
        <f>ROUND((C9-D9)/E9,2)</f>
        <v/>
      </c>
      <c r="H8" s="87" t="n">
        <v>133.33</v>
      </c>
      <c r="I8" s="88" t="n">
        <v>133.33</v>
      </c>
      <c r="J8" s="88" t="n">
        <v>133.33</v>
      </c>
      <c r="K8" s="10" t="inlineStr">
        <is>
          <t>→</t>
        </is>
      </c>
    </row>
    <row r="10" ht="13" customHeight="1">
      <c r="A10" s="89" t="inlineStr">
        <is>
          <t>← Add new assets here when capitalised. Copy the formula in column G.</t>
        </is>
      </c>
    </row>
  </sheetData>
  <mergeCells count="6">
    <mergeCell ref="A4:K4"/>
    <mergeCell ref="A3:K3"/>
    <mergeCell ref="A7:K7"/>
    <mergeCell ref="A10:K10"/>
    <mergeCell ref="A5:K5"/>
    <mergeCell ref="A1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2" customHeight="1">
      <c r="A1" s="90" t="inlineStr">
        <is>
          <t>PREPAID EXPENSE SCHEDULE — Persistent File (Update each month)</t>
        </is>
      </c>
    </row>
    <row r="2" ht="6" customHeight="1"/>
    <row r="3">
      <c r="A3" s="2" t="inlineStr">
        <is>
          <t>Keep this file. Reference it each session for the correct monthly release amount from 1120 Prepaid Expenses.</t>
        </is>
      </c>
    </row>
    <row r="4" ht="4" customHeight="1">
      <c r="A4" s="3" t="n"/>
    </row>
    <row r="5" ht="13" customHeight="1">
      <c r="A5" s="83" t="inlineStr">
        <is>
          <t>⚠  Yellow cells = inputs. Monthly release = (Total Paid − 0) ÷ Months. Enter this amount in Adjusting Entries each session.</t>
        </is>
      </c>
    </row>
    <row r="6">
      <c r="A6" s="5" t="inlineStr">
        <is>
          <t>#</t>
        </is>
      </c>
      <c r="B6" s="5" t="inlineStr">
        <is>
          <t>Description</t>
        </is>
      </c>
      <c r="C6" s="5" t="inlineStr">
        <is>
          <t>Total Paid</t>
        </is>
      </c>
      <c r="D6" s="5" t="inlineStr">
        <is>
          <t>Start</t>
        </is>
      </c>
      <c r="E6" s="5" t="inlineStr">
        <is>
          <t>Months</t>
        </is>
      </c>
      <c r="F6" s="5" t="inlineStr">
        <is>
          <t>Monthly Rel.</t>
        </is>
      </c>
      <c r="G6" s="5" t="inlineStr">
        <is>
          <t>Jan-25</t>
        </is>
      </c>
      <c r="H6" s="5" t="inlineStr">
        <is>
          <t>Feb-25</t>
        </is>
      </c>
      <c r="I6" s="5" t="inlineStr">
        <is>
          <t>Mar-25</t>
        </is>
      </c>
      <c r="J6" s="5" t="inlineStr">
        <is>
          <t>Balance Rem.</t>
        </is>
      </c>
      <c r="K6" s="5" t="inlineStr">
        <is>
          <t>End Month</t>
        </is>
      </c>
    </row>
    <row r="7">
      <c r="A7" s="91" t="inlineStr">
        <is>
          <t>ACTIVE PREPAIDS</t>
        </is>
      </c>
    </row>
    <row r="8" ht="14" customHeight="1">
      <c r="A8" s="7" t="inlineStr">
        <is>
          <t>01</t>
        </is>
      </c>
      <c r="B8" s="9" t="inlineStr">
        <is>
          <t>Takaful Ikhlas — Annual Insurance</t>
        </is>
      </c>
      <c r="C8" s="84" t="n">
        <v>6000</v>
      </c>
      <c r="D8" s="85" t="inlineStr">
        <is>
          <t>Jan-25</t>
        </is>
      </c>
      <c r="E8" s="85" t="n">
        <v>12</v>
      </c>
      <c r="F8" s="92">
        <f>ROUND(C8/E8,2)</f>
        <v/>
      </c>
      <c r="G8" s="87" t="n">
        <v>500</v>
      </c>
      <c r="H8" s="88" t="n">
        <v>500</v>
      </c>
      <c r="I8" s="88" t="n">
        <v>500</v>
      </c>
      <c r="J8" s="93" t="n">
        <v>5500</v>
      </c>
      <c r="K8" s="10" t="inlineStr">
        <is>
          <t>Dec-25</t>
        </is>
      </c>
    </row>
    <row r="10" ht="13" customHeight="1">
      <c r="A10" s="89" t="inlineStr">
        <is>
          <t>← Add new prepaid items here when posted. Update balance column each month.</t>
        </is>
      </c>
    </row>
  </sheetData>
  <mergeCells count="6">
    <mergeCell ref="A4:K4"/>
    <mergeCell ref="A3:K3"/>
    <mergeCell ref="A7:K7"/>
    <mergeCell ref="A10:K10"/>
    <mergeCell ref="A5:K5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2026-05-25T23:18:20Z</dcterms:created>
  <dcterms:modified xmlns:dcterms="http://purl.org/dc/terms/" xmlns:xsi="http://www.w3.org/2001/XMLSchema-instance" xsi:type="dcterms:W3CDTF">2026-05-25T23:18:20Z</dcterms:modified>
</cp:coreProperties>
</file>