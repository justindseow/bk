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863c73c96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6cb5ca385984c3d"/>
    <x:sheet xmlns:r="http://schemas.openxmlformats.org/officeDocument/2006/relationships" name="01_Session_Summary" sheetId="2" r:id="R0fe0392cf63f49d9"/>
    <x:sheet xmlns:r="http://schemas.openxmlformats.org/officeDocument/2006/relationships" name="02_WP1_Document_Ledger" sheetId="3" r:id="R96574e85008b4526"/>
    <x:sheet xmlns:r="http://schemas.openxmlformats.org/officeDocument/2006/relationships" name="03_WP2_Bank_Verification" sheetId="4" r:id="R30f3fec7eb4e4ce4"/>
    <x:sheet xmlns:r="http://schemas.openxmlformats.org/officeDocument/2006/relationships" name="04_AR_Listing" sheetId="5" r:id="Ra9e3e886aa21415e"/>
    <x:sheet xmlns:r="http://schemas.openxmlformats.org/officeDocument/2006/relationships" name="05_AP_Listing" sheetId="6" r:id="R1c7c1385182e416d"/>
    <x:sheet xmlns:r="http://schemas.openxmlformats.org/officeDocument/2006/relationships" name="06_Open_Items" sheetId="7" r:id="R6e6cc9db08354fea"/>
    <x:sheet xmlns:r="http://schemas.openxmlformats.org/officeDocument/2006/relationships" name="07_Adjusting_Entries" sheetId="8" r:id="R182a12beadf84ec2"/>
    <x:sheet xmlns:r="http://schemas.openxmlformats.org/officeDocument/2006/relationships" name="08_Journal_Voucher" sheetId="9" r:id="R3e03b35f616e4af7"/>
    <x:sheet xmlns:r="http://schemas.openxmlformats.org/officeDocument/2006/relationships" name="09_Trial_Balance" sheetId="10" r:id="Rfe1140114ec843d4"/>
    <x:sheet xmlns:r="http://schemas.openxmlformats.org/officeDocument/2006/relationships" name="10_Next_Session_Checklist" sheetId="11" r:id="Rc393985147264cb7"/>
    <x:sheet xmlns:r="http://schemas.openxmlformats.org/officeDocument/2006/relationships" name="11_Depreciation_Schedule" sheetId="12" r:id="Rbfaa5b2924a24c8b"/>
    <x:sheet xmlns:r="http://schemas.openxmlformats.org/officeDocument/2006/relationships" name="12_Prepaid_Schedule" sheetId="13" r:id="R7f9980cd0094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 yyyy"/>
    <x:numFmt numFmtId="201" formatCode="RM #,##0.00;[Red](RM #,##0.00)"/>
    <x:numFmt numFmtId="202" formatCode="RM #,##0.00;[Red](RM #,##0.00);-"/>
    <x:numFmt numFmtId="203" formatCode="mmm yyyy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F1923"/>
      </x:patternFill>
    </x:fill>
    <x:fill>
      <x:patternFill patternType="solid">
        <x:fgColor rgb="2E4057"/>
      </x:patternFill>
    </x:fill>
    <x:fill>
      <x:patternFill patternType="solid">
        <x:fgColor rgb="1F2D3D"/>
      </x:patternFill>
    </x:fill>
    <x:fill>
      <x:patternFill patternType="solid">
        <x:fgColor rgb="1D4ED8"/>
      </x:patternFill>
    </x:fill>
    <x:fill>
      <x:patternFill patternType="solid">
        <x:fgColor rgb="C2410C"/>
      </x:patternFill>
    </x:fill>
    <x:fill>
      <x:patternFill patternType="solid">
        <x:fgColor rgb="5B21B6"/>
      </x:patternFill>
    </x:fill>
    <x:fill>
      <x:patternFill patternType="solid">
        <x:fgColor rgb="0F766E"/>
      </x:patternFill>
    </x:fill>
    <x:fill>
      <x:patternFill patternType="solid">
        <x:fgColor rgb="DCFCE7"/>
      </x:patternFill>
    </x:fill>
    <x:fill>
      <x:patternFill patternType="solid">
        <x:fgColor rgb="166534"/>
      </x:patternFill>
    </x:fill>
  </x:fills>
  <x:borders count="4">
    <x:border/>
    <x:border/>
    <x:border>
      <x:top style="thin">
        <x:color rgb="166534"/>
      </x:top>
    </x:border>
    <x:border>
      <x:top style="thin">
        <x:color rgb="166534"/>
      </x:top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2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3" xfId="0" applyNumberFormat="1" applyFont="1" applyFill="1" applyBorder="1"/>
    <x:xf numFmtId="202" fontId="3" fillId="9" borderId="2" xfId="0" applyNumberFormat="1" applyFont="1" applyFill="1" applyBorder="1"/>
    <x:xf numFmtId="202" fontId="3" fillId="9" borderId="3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17"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EDE9FE"/>
        </x:patternFill>
      </x:fill>
    </x:dxf>
    <x:dxf>
      <x:fill>
        <x:patternFill patternType="solid">
          <x:bgColor rgb="CCFBF1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52e47695c495c" /><Relationship Type="http://schemas.openxmlformats.org/officeDocument/2006/relationships/theme" Target="/xl/theme/theme1.xml" Id="Ra75c1723967e4779" /><Relationship Type="http://schemas.openxmlformats.org/officeDocument/2006/relationships/sharedStrings" Target="/xl/sharedStrings.xml" Id="R7fb733a22aac48ef" /><Relationship Type="http://schemas.openxmlformats.org/officeDocument/2006/relationships/worksheet" Target="/xl/worksheets/sheet1.xml" Id="Rc6cb5ca385984c3d" /><Relationship Type="http://schemas.openxmlformats.org/officeDocument/2006/relationships/worksheet" Target="/xl/worksheets/sheet2.xml" Id="R0fe0392cf63f49d9" /><Relationship Type="http://schemas.openxmlformats.org/officeDocument/2006/relationships/worksheet" Target="/xl/worksheets/sheet3.xml" Id="R96574e85008b4526" /><Relationship Type="http://schemas.openxmlformats.org/officeDocument/2006/relationships/worksheet" Target="/xl/worksheets/sheet4.xml" Id="R30f3fec7eb4e4ce4" /><Relationship Type="http://schemas.openxmlformats.org/officeDocument/2006/relationships/worksheet" Target="/xl/worksheets/sheet5.xml" Id="Ra9e3e886aa21415e" /><Relationship Type="http://schemas.openxmlformats.org/officeDocument/2006/relationships/worksheet" Target="/xl/worksheets/sheet6.xml" Id="R1c7c1385182e416d" /><Relationship Type="http://schemas.openxmlformats.org/officeDocument/2006/relationships/worksheet" Target="/xl/worksheets/sheet7.xml" Id="R6e6cc9db08354fea" /><Relationship Type="http://schemas.openxmlformats.org/officeDocument/2006/relationships/worksheet" Target="/xl/worksheets/sheet8.xml" Id="R182a12beadf84ec2" /><Relationship Type="http://schemas.openxmlformats.org/officeDocument/2006/relationships/worksheet" Target="/xl/worksheets/sheet9.xml" Id="R3e03b35f616e4af7" /><Relationship Type="http://schemas.openxmlformats.org/officeDocument/2006/relationships/worksheet" Target="/xl/worksheets/sheet10.xml" Id="Rfe1140114ec843d4" /><Relationship Type="http://schemas.openxmlformats.org/officeDocument/2006/relationships/worksheet" Target="/xl/worksheets/sheet11.xml" Id="Rc393985147264cb7" /><Relationship Type="http://schemas.openxmlformats.org/officeDocument/2006/relationships/worksheet" Target="/xl/worksheets/sheet12.xml" Id="Rbfaa5b2924a24c8b" /><Relationship Type="http://schemas.openxmlformats.org/officeDocument/2006/relationships/worksheet" Target="/xl/worksheets/sheet13.xml" Id="R7f9980cd00944a2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5230c2ae8c44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Items by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'01_Session_Summary'!$F$5:$F$7</c:f>
              <c:strCache>
                <c:ptCount val="0"/>
              </c:strCache>
            </c:strRef>
          </c:cat>
          <c:val>
            <c:numRef>
              <c:f>'01_Session_Summary'!$G$5:$G$7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Amount</c:v>
          </c:tx>
          <c:cat>
            <c:strRef>
              <c:f>'01_Session_Summary'!$F$5:$F$7</c:f>
              <c:strCache>
                <c:ptCount val="0"/>
              </c:strCache>
            </c:strRef>
          </c:cat>
          <c:val>
            <c:numRef>
              <c:f>'01_Session_Summary'!$H$5:$H$7</c:f>
              <c:numCache>
                <c:formatCode>RM #,##0.00;[Red](RM #,##0.00);-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5230c2ae8c446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P1DocumentLedger" displayName="WP1DocumentLedger" ref="A4:N14" headerRowCount="1">
  <x:tableColumns count="14">
    <x:tableColumn id="1" name="Doc ID"/>
    <x:tableColumn id="2" name="Date"/>
    <x:tableColumn id="3" name="Doc Ref"/>
    <x:tableColumn id="4" name="Counterparty"/>
    <x:tableColumn id="5" name="Category"/>
    <x:tableColumn id="6" name="Doc Type"/>
    <x:tableColumn id="7" name="AR/AP?"/>
    <x:tableColumn id="8" name="Gross Amount"/>
    <x:tableColumn id="9" name="Primary GL / Action"/>
    <x:tableColumn id="10" name="Debit Account"/>
    <x:tableColumn id="11" name="Credit Account"/>
    <x:tableColumn id="12" name="Settlement Status"/>
    <x:tableColumn id="13" name="Due Date"/>
    <x:tableColumn id="14" name="Outstanding"/>
  </x:tableColumns>
  <x:tableStyleInfo name="TableStyleMedium2" showRowStripes="1"/>
</x:table>
</file>

<file path=xl/tables/table2.xml><?xml version="1.0" encoding="utf-8"?>
<x:table xmlns:x="http://schemas.openxmlformats.org/spreadsheetml/2006/main" id="2" name="WP2BankVerification" displayName="WP2BankVerification" ref="A4:K11" headerRowCount="1">
  <x:tableColumns count="11">
    <x:tableColumn id="1" name="Bank Row"/>
    <x:tableColumn id="2" name="Date"/>
    <x:tableColumn id="3" name="Bank Ref"/>
    <x:tableColumn id="4" name="Description"/>
    <x:tableColumn id="5" name="Inflow"/>
    <x:tableColumn id="6" name="Outflow"/>
    <x:tableColumn id="7" name="Matched To"/>
    <x:tableColumn id="8" name="AR/AP Action"/>
    <x:tableColumn id="9" name="Status"/>
    <x:tableColumn id="10" name="Timing / Query"/>
    <x:tableColumn id="11" name="JV Source Tag"/>
  </x:tableColumns>
  <x:tableStyleInfo name="TableStyleMedium2" showRowStripes="1"/>
</x:table>
</file>

<file path=xl/tables/table3.xml><?xml version="1.0" encoding="utf-8"?>
<x:table xmlns:x="http://schemas.openxmlformats.org/spreadsheetml/2006/main" id="3" name="ARListing" displayName="ARListing" ref="A4:K7" headerRowCount="1">
  <x:tableColumns count="11">
    <x:tableColumn id="1" name="Doc ID"/>
    <x:tableColumn id="2" name="Customer"/>
    <x:tableColumn id="3" name="Invoice No"/>
    <x:tableColumn id="4" name="Invoice Date"/>
    <x:tableColumn id="5" name="Due Date"/>
    <x:tableColumn id="6" name="Original Amount"/>
    <x:tableColumn id="7" name="Receipts Matched"/>
    <x:tableColumn id="8" name="Outstanding"/>
    <x:tableColumn id="9" name="Age Days"/>
    <x:tableColumn id="10" name="Aging Bucket"/>
    <x:tableColumn id="11" name="Linked Bank Ref"/>
  </x:tableColumns>
  <x:tableStyleInfo name="TableStyleMedium2" showRowStripes="1"/>
</x:table>
</file>

<file path=xl/tables/table4.xml><?xml version="1.0" encoding="utf-8"?>
<x:table xmlns:x="http://schemas.openxmlformats.org/spreadsheetml/2006/main" id="4" name="APListing" displayName="APListing" ref="A4:K7" headerRowCount="1">
  <x:tableColumns count="11">
    <x:tableColumn id="1" name="Doc ID"/>
    <x:tableColumn id="2" name="Supplier"/>
    <x:tableColumn id="3" name="Bill No"/>
    <x:tableColumn id="4" name="Bill Date"/>
    <x:tableColumn id="5" name="Due Date"/>
    <x:tableColumn id="6" name="Original Amount"/>
    <x:tableColumn id="7" name="Payments Matched"/>
    <x:tableColumn id="8" name="Outstanding"/>
    <x:tableColumn id="9" name="Age Days"/>
    <x:tableColumn id="10" name="Aging Bucket"/>
    <x:tableColumn id="11" name="Linked Bank Ref"/>
  </x:tableColumns>
  <x:tableStyleInfo name="TableStyleMedium2" showRowStripes="1"/>
</x:table>
</file>

<file path=xl/tables/table5.xml><?xml version="1.0" encoding="utf-8"?>
<x:table xmlns:x="http://schemas.openxmlformats.org/spreadsheetml/2006/main" id="5" name="OpenItems" displayName="OpenItems" ref="A4:J8" headerRowCount="1">
  <x:tableColumns count="10">
    <x:tableColumn id="1" name="Item Type"/>
    <x:tableColumn id="2" name="Source"/>
    <x:tableColumn id="3" name="Counterparty"/>
    <x:tableColumn id="4" name="Reference"/>
    <x:tableColumn id="5" name="Original Amount"/>
    <x:tableColumn id="6" name="Settled"/>
    <x:tableColumn id="7" name="Outstanding"/>
    <x:tableColumn id="8" name="Reason"/>
    <x:tableColumn id="9" name="Next Action"/>
    <x:tableColumn id="10" name="Carry Forward?"/>
  </x:tableColumns>
  <x:tableStyleInfo name="TableStyleMedium2" showRowStripes="1"/>
</x:table>
</file>

<file path=xl/tables/table6.xml><?xml version="1.0" encoding="utf-8"?>
<x:table xmlns:x="http://schemas.openxmlformats.org/spreadsheetml/2006/main" id="6" name="AdjustingEntries" displayName="AdjustingEntries" ref="A4:I8" headerRowCount="1">
  <x:tableColumns count="9">
    <x:tableColumn id="1" name="Adj ID"/>
    <x:tableColumn id="2" name="Date"/>
    <x:tableColumn id="3" name="Description"/>
    <x:tableColumn id="4" name="Account Code"/>
    <x:tableColumn id="5" name="Account Name"/>
    <x:tableColumn id="6" name="Debit"/>
    <x:tableColumn id="7" name="Credit"/>
    <x:tableColumn id="8" name="Source"/>
    <x:tableColumn id="9" name="Reverse Next Month?"/>
  </x:tableColumns>
  <x:tableStyleInfo name="TableStyleMedium2" showRowStripes="1"/>
</x:table>
</file>

<file path=xl/tables/table7.xml><?xml version="1.0" encoding="utf-8"?>
<x:table xmlns:x="http://schemas.openxmlformats.org/spreadsheetml/2006/main" id="7" name="JournalVoucher" displayName="JournalVoucher" ref="A4:I44" headerRowCount="1">
  <x:tableColumns count="9">
    <x:tableColumn id="1" name="JV No"/>
    <x:tableColumn id="2" name="Date"/>
    <x:tableColumn id="3" name="Source Tag"/>
    <x:tableColumn id="4" name="Doc / Bank Ref"/>
    <x:tableColumn id="5" name="Account Code"/>
    <x:tableColumn id="6" name="Account Name"/>
    <x:tableColumn id="7" name="Debit"/>
    <x:tableColumn id="8" name="Credit"/>
    <x:tableColumn id="9" name="Narration"/>
  </x:tableColumns>
  <x:tableStyleInfo name="TableStyleMedium2" showRowStripes="1"/>
</x:table>
</file>

<file path=xl/tables/table8.xml><?xml version="1.0" encoding="utf-8"?>
<x:table xmlns:x="http://schemas.openxmlformats.org/spreadsheetml/2006/main" id="8" name="TrialBalance" displayName="TrialBalance" ref="A4:H25" headerRowCount="1">
  <x:tableColumns count="8">
    <x:tableColumn id="1" name="Account Code"/>
    <x:tableColumn id="2" name="Account Name"/>
    <x:tableColumn id="3" name="Opening Dr/(Cr)"/>
    <x:tableColumn id="4" name="Current Debit"/>
    <x:tableColumn id="5" name="Current Credit"/>
    <x:tableColumn id="6" name="Closing Debit"/>
    <x:tableColumn id="7" name="Closing Credit"/>
    <x:tableColumn id="8" name="Check / Note"/>
  </x:tableColumns>
  <x:tableStyleInfo name="TableStyleMedium2" showRowStripes="1"/>
</x:table>
</file>

<file path=xl/tables/table9.xml><?xml version="1.0" encoding="utf-8"?>
<x:table xmlns:x="http://schemas.openxmlformats.org/spreadsheetml/2006/main" id="9" name="NextSessionChecklist" displayName="NextSessionChecklist" ref="A4:J9" headerRowCount="1">
  <x:tableColumns count="10">
    <x:tableColumn id="1" name="Priority"/>
    <x:tableColumn id="2" name="Category"/>
    <x:tableColumn id="3" name="Source Ref"/>
    <x:tableColumn id="4" name="Counterparty"/>
    <x:tableColumn id="5" name="Amount"/>
    <x:tableColumn id="6" name="Why carried forward"/>
    <x:tableColumn id="7" name="What BK should do next month"/>
    <x:tableColumn id="8" name="Expected Clearing"/>
    <x:tableColumn id="9" name="Owner"/>
    <x:tableColumn id="10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DepreciationSchedule" displayName="DepreciationSchedule" ref="A4:J5" headerRowCount="1">
  <x:tableColumns count="10">
    <x:tableColumn id="1" name="Asset ID"/>
    <x:tableColumn id="2" name="Purchase Ref"/>
    <x:tableColumn id="3" name="Asset Description"/>
    <x:tableColumn id="4" name="Purchase Date"/>
    <x:tableColumn id="5" name="Cost"/>
    <x:tableColumn id="6" name="Useful Life (Months)"/>
    <x:tableColumn id="7" name="Monthly Depreciation"/>
    <x:tableColumn id="8" name="Accum Depn to Date"/>
    <x:tableColumn id="9" name="NBV"/>
    <x:tableColumn id="10" name="Next Month Action"/>
  </x:tableColumns>
  <x:tableStyleInfo name="TableStyleMedium2" showRowStripes="1"/>
</x:table>
</file>

<file path=xl/tables/table11.xml><?xml version="1.0" encoding="utf-8"?>
<x:table xmlns:x="http://schemas.openxmlformats.org/spreadsheetml/2006/main" id="11" name="PrepaidSchedule" displayName="PrepaidSchedule" ref="A4:J5" headerRowCount="1">
  <x:tableColumns count="10">
    <x:tableColumn id="1" name="Prepaid ID"/>
    <x:tableColumn id="2" name="Purchase Ref"/>
    <x:tableColumn id="3" name="Description"/>
    <x:tableColumn id="4" name="Start Month"/>
    <x:tableColumn id="5" name="End Month"/>
    <x:tableColumn id="6" name="Total Amount"/>
    <x:tableColumn id="7" name="Expense This Month"/>
    <x:tableColumn id="8" name="Prepaid Balance"/>
    <x:tableColumn id="9" name="Months Remaining"/>
    <x:tableColumn id="10" name="Next Month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b61f7c3c39a4c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f33276a9cc34b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492e82cb29047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79d5382c1fd4a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da7f8cb941340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c9896aa76f94d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f9fb5c2338b49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6bfdc430fb244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e266236a725049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bacf35c41746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965d5275c5c44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9c3e8c5306bf4d8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45" hidden="0" customWidth="1"/>
    <x:col min="4" max="4" width="35" hidden="0" customWidth="1"/>
  </x:cols>
  <x:sheetData>
    <x:row r="1" ht="28" customHeight="1">
      <x:c r="A1" s="100" t="str">
        <x:v>MacroByte BK Tool — Excel Download Example with AR/AP</x:v>
      </x:c>
      <x:c r="B1" s="100"/>
      <x:c r="C1" s="100"/>
      <x:c r="D1" s="100"/>
      <x:c r="E1" s="100"/>
      <x:c r="F1" s="100"/>
      <x:c r="G1" s="100"/>
      <x:c r="H1" s="100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3">
      <x:c r="A3" s="14" t="str">
        <x:v>Purpose</x:v>
      </x:c>
      <x:c r="B3" s="20" t="str">
        <x:v>This workbook shows how the existing session-based Excel download can include Accounts Receivable (AR) and Accounts Payable (AP) without adding a separate main workflow step.</x:v>
      </x:c>
    </x:row>
    <x:row r="4" ht="24" customHeight="1">
      <x:c r="A4" s="14" t="str">
        <x:v>Core logic</x:v>
      </x:c>
      <x:c r="B4" s="20" t="str">
        <x:v>WP1 creates AR/AP from source documents. WP2 clears AR/AP when the bank movement is verified. Review validates AR/AP listings against the Trial Balance.</x:v>
      </x:c>
    </x:row>
    <x:row r="5">
      <x:c r="A5" s="14" t="str">
        <x:v>Output structure</x:v>
      </x:c>
      <x:c r="B5" s="20" t="str">
        <x:v>The existing session output can keep its current workflow tabs, with added AR Listing, AP Listing, and Open Items tabs for carry-forward control.</x:v>
      </x:c>
    </x:row>
    <x:row r="6">
      <x:c r="A6" s="14" t="str">
        <x:v>Sample entity</x:v>
      </x:c>
      <x:c r="B6" s="20" t="str">
        <x:v>XYZ Co Sdn Bhd</x:v>
      </x:c>
    </x:row>
    <x:row r="7">
      <x:c r="A7" s="14" t="str">
        <x:v>Sample period</x:v>
      </x:c>
      <x:c r="B7" s="20" t="str">
        <x:v>January 2025</x:v>
      </x:c>
    </x:row>
    <x:row r="8">
      <x:c r="A8" s="14" t="str">
        <x:v>Note</x:v>
      </x:c>
      <x:c r="B8" s="20" t="str">
        <x:v>Figures are illustrative only. Yellow cells are intended inputs. Formulas drive outstanding balances and control checks.</x:v>
      </x:c>
    </x:row>
    <x:row r="10">
      <x:c r="A10" s="26" t="str">
        <x:v>Tab</x:v>
      </x:c>
      <x:c r="B10" s="26" t="str">
        <x:v>Type</x:v>
      </x:c>
      <x:c r="C10" s="26" t="str">
        <x:v>What it shows</x:v>
      </x:c>
      <x:c r="D10" s="26" t="str">
        <x:v>AR/AP relevance</x:v>
      </x:c>
      <x:c r="E10" s="26" t="str"/>
      <x:c r="F10" s="26" t="str"/>
      <x:c r="G10" s="26" t="str"/>
      <x:c r="H10" s="26" t="str"/>
    </x:row>
    <x:row r="11">
      <x:c r="A11" t="str">
        <x:v>01_Session_Summary</x:v>
      </x:c>
      <x:c r="B11" t="str">
        <x:v>Output</x:v>
      </x:c>
      <x:c r="C11" t="str">
        <x:v>Top-level status, totals, and control checks</x:v>
      </x:c>
      <x:c r="D11" t="str">
        <x:v>Shows AR/AP closing balances and whether listings tie</x:v>
      </x:c>
    </x:row>
    <x:row r="12">
      <x:c r="A12" t="str">
        <x:v>02_WP1_Document_Ledger</x:v>
      </x:c>
      <x:c r="B12" t="str">
        <x:v>Working paper</x:v>
      </x:c>
      <x:c r="C12" t="str">
        <x:v>One row per source document</x:v>
      </x:c>
      <x:c r="D12" t="str">
        <x:v>Creates AR from sales invoices and AP from supplier bills</x:v>
      </x:c>
    </x:row>
    <x:row r="13">
      <x:c r="A13" t="str">
        <x:v>03_WP2_Bank_Verification</x:v>
      </x:c>
      <x:c r="B13" t="str">
        <x:v>Working paper</x:v>
      </x:c>
      <x:c r="C13" t="str">
        <x:v>Bank statement rows and matching status</x:v>
      </x:c>
      <x:c r="D13" t="str">
        <x:v>Clears AR/AP when receipts and payments are verified</x:v>
      </x:c>
    </x:row>
    <x:row r="14">
      <x:c r="A14" t="str">
        <x:v>04_AR_Listing</x:v>
      </x:c>
      <x:c r="B14" t="str">
        <x:v>Sub-ledger</x:v>
      </x:c>
      <x:c r="C14" t="str">
        <x:v>Open and settled customer invoices</x:v>
      </x:c>
      <x:c r="D14" t="str">
        <x:v>Must tie to AR GL balance</x:v>
      </x:c>
    </x:row>
    <x:row r="15">
      <x:c r="A15" t="str">
        <x:v>05_AP_Listing</x:v>
      </x:c>
      <x:c r="B15" t="str">
        <x:v>Sub-ledger</x:v>
      </x:c>
      <x:c r="C15" t="str">
        <x:v>Open and settled supplier bills</x:v>
      </x:c>
      <x:c r="D15" t="str">
        <x:v>Must tie to AP GL balance</x:v>
      </x:c>
    </x:row>
    <x:row r="16">
      <x:c r="A16" t="str">
        <x:v>06_Open_Items</x:v>
      </x:c>
      <x:c r="B16" t="str">
        <x:v>Carry-forward</x:v>
      </x:c>
      <x:c r="C16" t="str">
        <x:v>Outstanding AR/AP and timing items</x:v>
      </x:c>
      <x:c r="D16" t="str">
        <x:v>Feeds next session checklist</x:v>
      </x:c>
    </x:row>
    <x:row r="17">
      <x:c r="A17" t="str">
        <x:v>08_Journal_Voucher</x:v>
      </x:c>
      <x:c r="B17" t="str">
        <x:v>Output</x:v>
      </x:c>
      <x:c r="C17" t="str">
        <x:v>Full debit and credit listing</x:v>
      </x:c>
      <x:c r="D17" t="str">
        <x:v>Shows AR/AP creation and clearing entries</x:v>
      </x:c>
    </x:row>
    <x:row r="18">
      <x:c r="A18" t="str">
        <x:v>09_Trial_Balance</x:v>
      </x:c>
      <x:c r="B18" t="str">
        <x:v>Output</x:v>
      </x:c>
      <x:c r="C18" t="str">
        <x:v>Account-level balances from JV</x:v>
      </x:c>
      <x:c r="D18" t="str">
        <x:v>AR/AP control accounts checked against listings</x:v>
      </x:c>
    </x:row>
    <x:row r="19">
      <x:c r="A19" t="str">
        <x:v>10_Next_Session_Checklist</x:v>
      </x:c>
      <x:c r="B19" t="str">
        <x:v>Persistent</x:v>
      </x:c>
      <x:c r="C19" t="str">
        <x:v>Items to bring forward</x:v>
      </x:c>
      <x:c r="D19" t="str">
        <x:v>Unpaid AR/AP listed for next month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0" hidden="0" customWidth="1"/>
    <x:col min="4" max="4" width="8.479999542236328" hidden="0" customWidth="1"/>
    <x:col min="5" max="5" width="6.730000019073486" hidden="0" customWidth="1"/>
  </x:cols>
  <x:sheetData>
    <x:row r="1" ht="28" customHeight="1">
      <x:c r="A1" s="100" t="str">
        <x:v>Session Summary — XYZ Co Sdn Bhd, January 2025</x:v>
      </x:c>
      <x:c r="B1" s="100"/>
      <x:c r="C1" s="100"/>
      <x:c r="D1" s="100"/>
      <x:c r="E1" s="100"/>
      <x:c r="F1" s="100"/>
      <x:c r="G1" s="100"/>
      <x:c r="H1" s="100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4" ht="24" customHeight="1">
      <x:c r="A4" s="26" t="str">
        <x:v>Metric</x:v>
      </x:c>
      <x:c r="B4" s="26" t="str">
        <x:v>Value</x:v>
      </x:c>
      <x:c r="C4" s="26" t="str">
        <x:v>Comment</x:v>
      </x:c>
      <x:c r="D4" s="26" t="str"/>
      <x:c r="F4" s="62" t="str">
        <x:v>Open Item Type</x:v>
      </x:c>
      <x:c r="G4" s="62" t="str">
        <x:v>Count</x:v>
      </x:c>
      <x:c r="H4" s="62" t="str">
        <x:v>Amount</x:v>
      </x:c>
    </x:row>
    <x:row r="5">
      <x:c r="A5" s="20" t="str">
        <x:v>Revenue recognised</x:v>
      </x:c>
      <x:c r="B5" s="86" t="n">
        <x:f>SUMIFS('09_Trial_Balance'!$G$5:$G$25,'09_Trial_Balance'!$A$5:$A$25,"4100")</x:f>
        <x:v>34660</x:v>
      </x:c>
      <x:c r="C5" s="20" t="str">
        <x:v>From Sales Revenue account</x:v>
      </x:c>
      <x:c r="D5" s="20" t="str"/>
      <x:c r="F5" t="str">
        <x:v>AR</x:v>
      </x:c>
      <x:c r="G5" t="n">
        <x:f>COUNTIF('06_Open_Items'!$A$5:$A$8,F5)</x:f>
        <x:v>2</x:v>
      </x:c>
      <x:c r="H5" s="36" t="n">
        <x:f>SUMIF('06_Open_Items'!$A$5:$A$8,F5,'06_Open_Items'!$G$5:$G$8)</x:f>
        <x:v>16660</x:v>
      </x:c>
    </x:row>
    <x:row r="6">
      <x:c r="A6" s="20" t="str">
        <x:v>Expenses recognised</x:v>
      </x:c>
      <x:c r="B6" s="86" t="n">
        <x:f>SUMIFS('09_Trial_Balance'!$F$5:$F$25,'09_Trial_Balance'!$A$5:$A$25,"5020")+SUMIFS('09_Trial_Balance'!$F$5:$F$25,'09_Trial_Balance'!$A$5:$A$25,"6100")+SUMIFS('09_Trial_Balance'!$F$5:$F$25,'09_Trial_Balance'!$A$5:$A$25,"6110")+SUMIFS('09_Trial_Balance'!$F$5:$F$25,'09_Trial_Balance'!$A$5:$A$25,"6120")+SUMIFS('09_Trial_Balance'!$F$5:$F$25,'09_Trial_Balance'!$A$5:$A$25,"6200")+SUMIFS('09_Trial_Balance'!$F$5:$F$25,'09_Trial_Balance'!$A$5:$A$25,"6380")+SUMIFS('09_Trial_Balance'!$F$5:$F$25,'09_Trial_Balance'!$A$5:$A$25,"6500")+SUMIFS('09_Trial_Balance'!$F$5:$F$25,'09_Trial_Balance'!$A$5:$A$25,"6600")</x:f>
        <x:v>28711.67</x:v>
      </x:c>
      <x:c r="C6" s="20" t="str">
        <x:v>Direct materials + operating expenses + depreciation</x:v>
      </x:c>
      <x:c r="D6" s="20" t="str"/>
      <x:c r="F6" t="str">
        <x:v>AP</x:v>
      </x:c>
      <x:c r="G6" t="n">
        <x:f>COUNTIF('06_Open_Items'!$A$5:$A$8,F6)</x:f>
        <x:v>1</x:v>
      </x:c>
      <x:c r="H6" s="36" t="n">
        <x:f>SUMIF('06_Open_Items'!$A$5:$A$8,F6,'06_Open_Items'!$G$5:$G$8)</x:f>
        <x:v>950</x:v>
      </x:c>
    </x:row>
    <x:row r="7">
      <x:c r="A7" s="20" t="str">
        <x:v>Closing AR</x:v>
      </x:c>
      <x:c r="B7" s="86" t="n">
        <x:f>'04_AR_Listing'!$H$9</x:f>
        <x:v>16660</x:v>
      </x:c>
      <x:c r="C7" s="20" t="str">
        <x:v>Should agree to AR listing</x:v>
      </x:c>
      <x:c r="D7" s="20" t="str"/>
      <x:c r="F7" t="str">
        <x:v>Payroll Statutory</x:v>
      </x:c>
      <x:c r="G7" t="n">
        <x:f>COUNTIF('06_Open_Items'!$A$5:$A$8,F7)</x:f>
        <x:v>1</x:v>
      </x:c>
      <x:c r="H7" s="36" t="n">
        <x:f>SUMIF('06_Open_Items'!$A$5:$A$8,F7,'06_Open_Items'!$G$5:$G$8)</x:f>
        <x:v>3390</x:v>
      </x:c>
    </x:row>
    <x:row r="8">
      <x:c r="A8" s="20" t="str">
        <x:v>Closing AP</x:v>
      </x:c>
      <x:c r="B8" s="86" t="n">
        <x:f>'05_AP_Listing'!$H$9</x:f>
        <x:v>950</x:v>
      </x:c>
      <x:c r="C8" s="20" t="str">
        <x:v>Should agree to AP listing</x:v>
      </x:c>
      <x:c r="D8" s="20" t="str"/>
      <x:c r="F8" t="str">
        <x:v>Total</x:v>
      </x:c>
      <x:c r="G8" t="n">
        <x:f>SUM(G5:G7)</x:f>
        <x:v>4</x:v>
      </x:c>
      <x:c r="H8" s="36" t="n">
        <x:f>SUM(H5:H7)</x:f>
        <x:v>21000</x:v>
      </x:c>
    </x:row>
    <x:row r="9">
      <x:c r="A9" s="20" t="str">
        <x:v>Open AR invoices</x:v>
      </x:c>
      <x:c r="B9" s="20" t="n">
        <x:f>COUNTIF('04_AR_Listing'!$H$5:$H$7,"&gt;0")</x:f>
        <x:v>2</x:v>
      </x:c>
      <x:c r="C9" s="20" t="str">
        <x:v>Count of unpaid/partially paid customer invoices</x:v>
      </x:c>
      <x:c r="D9" s="20" t="str"/>
    </x:row>
    <x:row r="10">
      <x:c r="A10" s="20" t="str">
        <x:v>Open AP bills</x:v>
      </x:c>
      <x:c r="B10" s="20" t="n">
        <x:f>COUNTIF('05_AP_Listing'!$H$5:$H$7,"&gt;0")</x:f>
        <x:v>1</x:v>
      </x:c>
      <x:c r="C10" s="20" t="str">
        <x:v>Count of unpaid supplier bills</x:v>
      </x:c>
      <x:c r="D10" s="20" t="str"/>
    </x:row>
    <x:row r="11">
      <x:c r="A11" s="20" t="str">
        <x:v>JV debit/credit check</x:v>
      </x:c>
      <x:c r="B11" s="20" t="str">
        <x:f>'08_Journal_Voucher'!$I$46</x:f>
        <x:v>Balanced</x:v>
      </x:c>
      <x:c r="C11" s="20" t="str">
        <x:v>Must show Balanced</x:v>
      </x:c>
      <x:c r="D11" s="20" t="str"/>
    </x:row>
    <x:row r="12">
      <x:c r="A12" s="20" t="str">
        <x:v>AR control check</x:v>
      </x:c>
      <x:c r="B12" s="20" t="str">
        <x:f>'09_Trial_Balance'!$H$6</x:f>
        <x:v>AR listing ties</x:v>
      </x:c>
      <x:c r="C12" s="20" t="str">
        <x:v>Must show AR listing ties</x:v>
      </x:c>
      <x:c r="D12" s="20" t="str"/>
    </x:row>
    <x:row r="13">
      <x:c r="A13" s="20" t="str">
        <x:v>AP control check</x:v>
      </x:c>
      <x:c r="B13" s="20" t="str">
        <x:f>'09_Trial_Balance'!$H$10</x:f>
        <x:v>AP listing ties</x:v>
      </x:c>
      <x:c r="C13" s="20" t="str">
        <x:v>Must show AP listing ties</x:v>
      </x:c>
      <x:c r="D13" s="20" t="str"/>
    </x:row>
    <x:row r="16">
      <x:c r="A16" s="14" t="str">
        <x:v>Control View</x:v>
      </x:c>
      <x:c r="B16" s="14" t="str">
        <x:v>Source</x:v>
      </x:c>
      <x:c r="C16" s="14" t="str">
        <x:v>Expected</x:v>
      </x:c>
      <x:c r="D16" s="14" t="str">
        <x:v>Actual</x:v>
      </x:c>
      <x:c r="E16" s="14" t="str">
        <x:v>Status</x:v>
      </x:c>
      <x:c r="F16" s="14" t="str"/>
      <x:c r="G16" s="14" t="str"/>
      <x:c r="H16" s="14" t="str"/>
    </x:row>
    <x:row r="17">
      <x:c r="A17" t="str">
        <x:v>AR listing to GL</x:v>
      </x:c>
      <x:c r="B17" t="str">
        <x:v>AR Listing vs Trial Balance</x:v>
      </x:c>
      <x:c r="C17" s="36" t="n">
        <x:f>'09_Trial_Balance'!$F$6</x:f>
        <x:v>16660</x:v>
      </x:c>
      <x:c r="D17" s="36" t="n">
        <x:f>'04_AR_Listing'!$H$9</x:f>
        <x:v>16660</x:v>
      </x:c>
      <x:c r="E17" t="str">
        <x:f>IF(ROUND(C17-D17,2)=0,"OK","Check")</x:f>
        <x:v>OK</x:v>
      </x:c>
      <x:c r="F17" t="str"/>
      <x:c r="G17" t="str"/>
      <x:c r="H17" t="str"/>
    </x:row>
    <x:row r="18">
      <x:c r="A18" t="str">
        <x:v>AP listing to GL</x:v>
      </x:c>
      <x:c r="B18" t="str">
        <x:v>AP Listing vs Trial Balance</x:v>
      </x:c>
      <x:c r="C18" s="36" t="n">
        <x:f>'09_Trial_Balance'!$G$10</x:f>
        <x:v>950</x:v>
      </x:c>
      <x:c r="D18" s="36" t="n">
        <x:f>'05_AP_Listing'!$H$9</x:f>
        <x:v>950</x:v>
      </x:c>
      <x:c r="E18" t="str">
        <x:f>IF(ROUND(C18-D18,2)=0,"OK","Check")</x:f>
        <x:v>OK</x:v>
      </x:c>
      <x:c r="F18" t="str"/>
      <x:c r="G18" t="str"/>
      <x:c r="H18" t="str"/>
    </x:row>
    <x:row r="19">
      <x:c r="A19" t="str">
        <x:v>Debit equals Credit</x:v>
      </x:c>
      <x:c r="B19" t="str">
        <x:v>Journal Voucher</x:v>
      </x:c>
      <x:c r="C19" s="36" t="n">
        <x:f>'08_Journal_Voucher'!$G$46</x:f>
        <x:v>127481.67</x:v>
      </x:c>
      <x:c r="D19" s="36" t="n">
        <x:f>'08_Journal_Voucher'!$H$46</x:f>
        <x:v>127481.67</x:v>
      </x:c>
      <x:c r="E19" t="str">
        <x:f>IF(ROUND(C19-D19,2)=0,"OK","Check")</x:f>
        <x:v>OK</x:v>
      </x:c>
      <x:c r="F19" t="str"/>
      <x:c r="G19" t="str"/>
      <x:c r="H19" t="str"/>
    </x:row>
  </x:sheetData>
  <x:mergeCells>
    <x:mergeCell ref="A1:H1"/>
  </x:mergeCells>
  <x:conditionalFormatting sqref="E17:E19">
    <x:cfRule type="expression" dxfId="12" priority="1">
      <x:formula>$E17="OK"</x:formula>
    </x:cfRule>
    <x:cfRule type="expression" dxfId="13" priority="2">
      <x:formula>$E17="Check"</x:formula>
    </x:cfRule>
  </x:conditionalFormatting>
  <x:pageMargins left="0.7" right="0.7" top="0.75" bottom="0.75" header="0.3" footer="0.3"/>
  <x:drawing xmlns:r="http://schemas.openxmlformats.org/officeDocument/2006/relationships" r:id="R9b61f7c3c39a4cb2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6" hidden="0" customWidth="1"/>
    <x:col min="4" max="4" width="24" hidden="0" customWidth="1"/>
    <x:col min="5" max="5" width="14" hidden="0" customWidth="1"/>
    <x:col min="6" max="6" width="18" hidden="0" customWidth="1"/>
    <x:col min="7" max="7" width="12" hidden="0" customWidth="1"/>
    <x:col min="8" max="8" width="14" hidden="0" customWidth="1"/>
    <x:col min="9" max="9" width="24" hidden="0" customWidth="1"/>
    <x:col min="10" max="10" width="24" hidden="0" customWidth="1"/>
    <x:col min="11" max="11" width="24" hidden="0" customWidth="1"/>
    <x:col min="12" max="12" width="20" hidden="0" customWidth="1"/>
    <x:col min="13" max="13" width="12" hidden="0" customWidth="1"/>
    <x:col min="14" max="14" width="14" hidden="0" customWidth="1"/>
  </x:cols>
  <x:sheetData>
    <x:row r="1" ht="28" customHeight="1">
      <x:c r="A1" s="100" t="str">
        <x:v>WP1 — Document Posting Ledger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  <x:c r="M1" s="100"/>
      <x:c r="N1" s="100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Enter every source document here. AR/AP is created at document stage, not at bank stage.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</x:row>
    <x:row r="4" ht="24" customHeight="1">
      <x:c r="A4" s="26" t="str">
        <x:v>Doc ID</x:v>
      </x:c>
      <x:c r="B4" s="26" t="str">
        <x:v>Date</x:v>
      </x:c>
      <x:c r="C4" s="26" t="str">
        <x:v>Doc Ref</x:v>
      </x:c>
      <x:c r="D4" s="26" t="str">
        <x:v>Counterparty</x:v>
      </x:c>
      <x:c r="E4" s="26" t="str">
        <x:v>Category</x:v>
      </x:c>
      <x:c r="F4" s="26" t="str">
        <x:v>Doc Type</x:v>
      </x:c>
      <x:c r="G4" s="26" t="str">
        <x:v>AR/AP?</x:v>
      </x:c>
      <x:c r="H4" s="26" t="str">
        <x:v>Gross Amount</x:v>
      </x:c>
      <x:c r="I4" s="26" t="str">
        <x:v>Primary GL / Action</x:v>
      </x:c>
      <x:c r="J4" s="26" t="str">
        <x:v>Debit Account</x:v>
      </x:c>
      <x:c r="K4" s="26" t="str">
        <x:v>Credit Account</x:v>
      </x:c>
      <x:c r="L4" s="26" t="str">
        <x:v>Settlement Status</x:v>
      </x:c>
      <x:c r="M4" s="26" t="str">
        <x:v>Due Date</x:v>
      </x:c>
      <x:c r="N4" s="26" t="str">
        <x:v>Outstanding</x:v>
      </x:c>
    </x:row>
    <x:row r="5">
      <x:c r="A5" t="str">
        <x:v>D001</x:v>
      </x:c>
      <x:c r="B5" s="32" t="n">
        <x:v>45660</x:v>
      </x:c>
      <x:c r="C5" t="str">
        <x:v>INV-2025-001</x:v>
      </x:c>
      <x:c r="D5" t="str">
        <x:v>Maya Food Supply</x:v>
      </x:c>
      <x:c r="E5" t="str">
        <x:v>Customer</x:v>
      </x:c>
      <x:c r="F5" t="str">
        <x:v>Sales Invoice</x:v>
      </x:c>
      <x:c r="G5" t="str">
        <x:v>AR</x:v>
      </x:c>
      <x:c r="H5" s="34" t="n">
        <x:v>12500</x:v>
      </x:c>
      <x:c r="I5" t="str">
        <x:v>4100 Sales Revenue</x:v>
      </x:c>
      <x:c r="J5" t="str">
        <x:v>1100 Trade Receivables</x:v>
      </x:c>
      <x:c r="K5" t="str">
        <x:v>4100 Sales Revenue</x:v>
      </x:c>
      <x:c r="L5" t="str">
        <x:v>Open</x:v>
      </x:c>
      <x:c r="M5" s="32" t="n">
        <x:v>45690</x:v>
      </x:c>
      <x:c r="N5" s="36" t="n">
        <x:f>IF(G5="AR",XLOOKUP(C5,'04_AR_Listing'!$C:$C,'04_AR_Listing'!$H:$H,0),IF(G5="AP",XLOOKUP(C5,'05_AP_Listing'!$C:$C,'05_AP_Listing'!$H:$H,0),0))</x:f>
        <x:v>12500</x:v>
      </x:c>
    </x:row>
    <x:row r="6">
      <x:c r="A6" t="str">
        <x:v>D002</x:v>
      </x:c>
      <x:c r="B6" s="32" t="n">
        <x:v>45663</x:v>
      </x:c>
      <x:c r="C6" t="str">
        <x:v>INV-2025-002</x:v>
      </x:c>
      <x:c r="D6" t="str">
        <x:v>Nusa Cafe</x:v>
      </x:c>
      <x:c r="E6" t="str">
        <x:v>Customer</x:v>
      </x:c>
      <x:c r="F6" t="str">
        <x:v>Sales Invoice</x:v>
      </x:c>
      <x:c r="G6" t="str">
        <x:v>AR</x:v>
      </x:c>
      <x:c r="H6" s="34" t="n">
        <x:v>8000</x:v>
      </x:c>
      <x:c r="I6" t="str">
        <x:v>4100 Sales Revenue</x:v>
      </x:c>
      <x:c r="J6" t="str">
        <x:v>1100 Trade Receivables</x:v>
      </x:c>
      <x:c r="K6" t="str">
        <x:v>4100 Sales Revenue</x:v>
      </x:c>
      <x:c r="L6" t="str">
        <x:v>Paid</x:v>
      </x:c>
      <x:c r="M6" s="32" t="n">
        <x:v>45693</x:v>
      </x:c>
      <x:c r="N6" s="36" t="n">
        <x:f>IF(G6="AR",XLOOKUP(C6,'04_AR_Listing'!$C:$C,'04_AR_Listing'!$H:$H,0),IF(G6="AP",XLOOKUP(C6,'05_AP_Listing'!$C:$C,'05_AP_Listing'!$H:$H,0),0))</x:f>
        <x:v>0</x:v>
      </x:c>
    </x:row>
    <x:row r="7">
      <x:c r="A7" t="str">
        <x:v>D003</x:v>
      </x:c>
      <x:c r="B7" s="32" t="n">
        <x:v>45669</x:v>
      </x:c>
      <x:c r="C7" t="str">
        <x:v>INV-2025-003</x:v>
      </x:c>
      <x:c r="D7" t="str">
        <x:v>Bright Retail Sdn Bhd</x:v>
      </x:c>
      <x:c r="E7" t="str">
        <x:v>Customer</x:v>
      </x:c>
      <x:c r="F7" t="str">
        <x:v>Sales Invoice</x:v>
      </x:c>
      <x:c r="G7" t="str">
        <x:v>AR</x:v>
      </x:c>
      <x:c r="H7" s="34" t="n">
        <x:v>14160</x:v>
      </x:c>
      <x:c r="I7" t="str">
        <x:v>4100 Sales Revenue</x:v>
      </x:c>
      <x:c r="J7" t="str">
        <x:v>1100 Trade Receivables</x:v>
      </x:c>
      <x:c r="K7" t="str">
        <x:v>4100 Sales Revenue</x:v>
      </x:c>
      <x:c r="L7" t="str">
        <x:v>Partially Paid</x:v>
      </x:c>
      <x:c r="M7" s="32" t="n">
        <x:v>45699</x:v>
      </x:c>
      <x:c r="N7" s="36" t="n">
        <x:f>IF(G7="AR",XLOOKUP(C7,'04_AR_Listing'!$C:$C,'04_AR_Listing'!$H:$H,0),IF(G7="AP",XLOOKUP(C7,'05_AP_Listing'!$C:$C,'05_AP_Listing'!$H:$H,0),0))</x:f>
        <x:v>4160</x:v>
      </x:c>
    </x:row>
    <x:row r="8">
      <x:c r="A8" t="str">
        <x:v>D004</x:v>
      </x:c>
      <x:c r="B8" s="32" t="n">
        <x:v>45662</x:v>
      </x:c>
      <x:c r="C8" t="str">
        <x:v>INV-BF-881</x:v>
      </x:c>
      <x:c r="D8" t="str">
        <x:v>Berjaya Fresh</x:v>
      </x:c>
      <x:c r="E8" t="str">
        <x:v>Supplier</x:v>
      </x:c>
      <x:c r="F8" t="str">
        <x:v>Purchase Invoice</x:v>
      </x:c>
      <x:c r="G8" t="str">
        <x:v>AP</x:v>
      </x:c>
      <x:c r="H8" s="34" t="n">
        <x:v>3200</x:v>
      </x:c>
      <x:c r="I8" t="str">
        <x:v>5020 Direct Materials</x:v>
      </x:c>
      <x:c r="J8" t="str">
        <x:v>5020 Direct Materials</x:v>
      </x:c>
      <x:c r="K8" t="str">
        <x:v>2000 Trade Payables</x:v>
      </x:c>
      <x:c r="L8" t="str">
        <x:v>Paid</x:v>
      </x:c>
      <x:c r="M8" s="32" t="n">
        <x:v>45692</x:v>
      </x:c>
      <x:c r="N8" s="36" t="n">
        <x:f>IF(G8="AR",XLOOKUP(C8,'04_AR_Listing'!$C:$C,'04_AR_Listing'!$H:$H,0),IF(G8="AP",XLOOKUP(C8,'05_AP_Listing'!$C:$C,'05_AP_Listing'!$H:$H,0),0))</x:f>
        <x:v>0</x:v>
      </x:c>
    </x:row>
    <x:row r="9">
      <x:c r="A9" t="str">
        <x:v>D005</x:v>
      </x:c>
      <x:c r="B9" s="32" t="n">
        <x:v>45665</x:v>
      </x:c>
      <x:c r="C9" t="str">
        <x:v>INV-LG-101</x:v>
      </x:c>
      <x:c r="D9" t="str">
        <x:v>Landlord Group</x:v>
      </x:c>
      <x:c r="E9" t="str">
        <x:v>Supplier</x:v>
      </x:c>
      <x:c r="F9" t="str">
        <x:v>Purchase Invoice</x:v>
      </x:c>
      <x:c r="G9" t="str">
        <x:v>AP</x:v>
      </x:c>
      <x:c r="H9" s="34" t="n">
        <x:v>4800</x:v>
      </x:c>
      <x:c r="I9" t="str">
        <x:v>6110 Rent</x:v>
      </x:c>
      <x:c r="J9" t="str">
        <x:v>6110 Rent</x:v>
      </x:c>
      <x:c r="K9" t="str">
        <x:v>2000 Trade Payables</x:v>
      </x:c>
      <x:c r="L9" t="str">
        <x:v>Paid</x:v>
      </x:c>
      <x:c r="M9" s="32" t="n">
        <x:v>45688</x:v>
      </x:c>
      <x:c r="N9" s="36" t="n">
        <x:f>IF(G9="AR",XLOOKUP(C9,'04_AR_Listing'!$C:$C,'04_AR_Listing'!$H:$H,0),IF(G9="AP",XLOOKUP(C9,'05_AP_Listing'!$C:$C,'05_AP_Listing'!$H:$H,0),0))</x:f>
        <x:v>0</x:v>
      </x:c>
    </x:row>
    <x:row r="10">
      <x:c r="A10" t="str">
        <x:v>D006</x:v>
      </x:c>
      <x:c r="B10" s="32" t="n">
        <x:v>45675</x:v>
      </x:c>
      <x:c r="C10" t="str">
        <x:v>INV-MB-221</x:v>
      </x:c>
      <x:c r="D10" t="str">
        <x:v>MetroBiz Supplies</x:v>
      </x:c>
      <x:c r="E10" t="str">
        <x:v>Supplier</x:v>
      </x:c>
      <x:c r="F10" t="str">
        <x:v>Purchase Invoice</x:v>
      </x:c>
      <x:c r="G10" t="str">
        <x:v>AP</x:v>
      </x:c>
      <x:c r="H10" s="34" t="n">
        <x:v>950</x:v>
      </x:c>
      <x:c r="I10" t="str">
        <x:v>6100 Office Supplies</x:v>
      </x:c>
      <x:c r="J10" t="str">
        <x:v>6100 Office Supplies</x:v>
      </x:c>
      <x:c r="K10" t="str">
        <x:v>2000 Trade Payables</x:v>
      </x:c>
      <x:c r="L10" t="str">
        <x:v>Open</x:v>
      </x:c>
      <x:c r="M10" s="32" t="n">
        <x:v>45705</x:v>
      </x:c>
      <x:c r="N10" s="36" t="n">
        <x:f>IF(G10="AR",XLOOKUP(C10,'04_AR_Listing'!$C:$C,'04_AR_Listing'!$H:$H,0),IF(G10="AP",XLOOKUP(C10,'05_AP_Listing'!$C:$C,'05_AP_Listing'!$H:$H,0),0))</x:f>
        <x:v>950</x:v>
      </x:c>
    </x:row>
    <x:row r="11">
      <x:c r="A11" t="str">
        <x:v>D007</x:v>
      </x:c>
      <x:c r="B11" s="32" t="n">
        <x:v>45667</x:v>
      </x:c>
      <x:c r="C11" t="str">
        <x:v>POL-889</x:v>
      </x:c>
      <x:c r="D11" t="str">
        <x:v>Secure Insurance</x:v>
      </x:c>
      <x:c r="E11" t="str">
        <x:v>Supplier</x:v>
      </x:c>
      <x:c r="F11" t="str">
        <x:v>Prepayment Split</x:v>
      </x:c>
      <x:c r="G11" t="str">
        <x:v>No</x:v>
      </x:c>
      <x:c r="H11" s="34" t="n">
        <x:v>12000</x:v>
      </x:c>
      <x:c r="I11" t="str">
        <x:v>Split: prepaid + expense</x:v>
      </x:c>
      <x:c r="J11" t="str">
        <x:v>1120 / 6380</x:v>
      </x:c>
      <x:c r="K11" t="str">
        <x:v>1000 Bank</x:v>
      </x:c>
      <x:c r="L11" t="str">
        <x:v>Bank Verification Pending</x:v>
      </x:c>
      <x:c r="M11" s="32" t="n">
        <x:v>45667</x:v>
      </x:c>
      <x:c r="N11" s="36" t="n">
        <x:f>IF(G11="AR",XLOOKUP(C11,'04_AR_Listing'!$C:$C,'04_AR_Listing'!$H:$H,0),IF(G11="AP",XLOOKUP(C11,'05_AP_Listing'!$C:$C,'05_AP_Listing'!$H:$H,0),0))</x:f>
        <x:v>0</x:v>
      </x:c>
    </x:row>
    <x:row r="12">
      <x:c r="A12" t="str">
        <x:v>D008</x:v>
      </x:c>
      <x:c r="B12" s="32" t="n">
        <x:v>45688</x:v>
      </x:c>
      <x:c r="C12" t="str">
        <x:v>PAY-JAN25</x:v>
      </x:c>
      <x:c r="D12" t="str">
        <x:v>Payroll Summary</x:v>
      </x:c>
      <x:c r="E12" t="str">
        <x:v>Internal</x:v>
      </x:c>
      <x:c r="F12" t="str">
        <x:v>Payroll Split</x:v>
      </x:c>
      <x:c r="G12" t="str">
        <x:v>Payroll liabilities</x:v>
      </x:c>
      <x:c r="H12" s="34" t="n">
        <x:v>18000</x:v>
      </x:c>
      <x:c r="I12" t="str">
        <x:v>Split: payroll statutory</x:v>
      </x:c>
      <x:c r="J12" t="str">
        <x:v>6200 Salaries</x:v>
      </x:c>
      <x:c r="K12" t="str">
        <x:v>2010/2020/2030/2040</x:v>
      </x:c>
      <x:c r="L12" t="str">
        <x:v>Partially Cleared</x:v>
      </x:c>
      <x:c r="M12" s="32" t="n">
        <x:v>45688</x:v>
      </x:c>
      <x:c r="N12" s="36" t="n">
        <x:f>IF(G12="AR",XLOOKUP(C12,'04_AR_Listing'!$C:$C,'04_AR_Listing'!$H:$H,0),IF(G12="AP",XLOOKUP(C12,'05_AP_Listing'!$C:$C,'05_AP_Listing'!$H:$H,0),0))</x:f>
        <x:v>0</x:v>
      </x:c>
    </x:row>
    <x:row r="13">
      <x:c r="A13" t="str">
        <x:v>D009</x:v>
      </x:c>
      <x:c r="B13" s="32" t="n">
        <x:v>45679</x:v>
      </x:c>
      <x:c r="C13" t="str">
        <x:v>FA-AC-003</x:v>
      </x:c>
      <x:c r="D13" t="str">
        <x:v>CoolAir Sdn Bhd</x:v>
      </x:c>
      <x:c r="E13" t="str">
        <x:v>Supplier</x:v>
      </x:c>
      <x:c r="F13" t="str">
        <x:v>Asset Purchase</x:v>
      </x:c>
      <x:c r="G13" t="str">
        <x:v>No</x:v>
      </x:c>
      <x:c r="H13" s="34" t="n">
        <x:v>9500</x:v>
      </x:c>
      <x:c r="I13" t="str">
        <x:v>Reclassify: capitalise</x:v>
      </x:c>
      <x:c r="J13" t="str">
        <x:v>1530 Plant &amp; Equipment</x:v>
      </x:c>
      <x:c r="K13" t="str">
        <x:v>1000 Bank</x:v>
      </x:c>
      <x:c r="L13" t="str">
        <x:v>Capitalised</x:v>
      </x:c>
      <x:c r="M13" s="32" t="n">
        <x:v>45679</x:v>
      </x:c>
      <x:c r="N13" s="36" t="n">
        <x:f>IF(G13="AR",XLOOKUP(C13,'04_AR_Listing'!$C:$C,'04_AR_Listing'!$H:$H,0),IF(G13="AP",XLOOKUP(C13,'05_AP_Listing'!$C:$C,'05_AP_Listing'!$H:$H,0),0))</x:f>
        <x:v>0</x:v>
      </x:c>
    </x:row>
    <x:row r="14">
      <x:c r="A14" t="str">
        <x:v>D010</x:v>
      </x:c>
      <x:c r="B14" s="32" t="n">
        <x:v>45682</x:v>
      </x:c>
      <x:c r="C14" t="str">
        <x:v>DIR-TRF-001</x:v>
      </x:c>
      <x:c r="D14" t="str">
        <x:v>Director Transfer</x:v>
      </x:c>
      <x:c r="E14" t="str">
        <x:v>Related Party</x:v>
      </x:c>
      <x:c r="F14" t="str">
        <x:v>Director Transaction</x:v>
      </x:c>
      <x:c r="G14" t="str">
        <x:v>No</x:v>
      </x:c>
      <x:c r="H14" s="34" t="n">
        <x:v>3000</x:v>
      </x:c>
      <x:c r="I14" t="str">
        <x:v>Reclassify: director loan</x:v>
      </x:c>
      <x:c r="J14" t="str">
        <x:v>1000 Bank</x:v>
      </x:c>
      <x:c r="K14" t="str">
        <x:v>2800 Director Loan</x:v>
      </x:c>
      <x:c r="L14" t="str">
        <x:v>Posted</x:v>
      </x:c>
      <x:c r="M14" s="32" t="n">
        <x:v>45682</x:v>
      </x:c>
      <x:c r="N14" s="36" t="n">
        <x:f>IF(G14="AR",XLOOKUP(C14,'04_AR_Listing'!$C:$C,'04_AR_Listing'!$H:$H,0),IF(G14="AP",XLOOKUP(C14,'05_AP_Listing'!$C:$C,'05_AP_Listing'!$H:$H,0),0))</x:f>
        <x:v>0</x:v>
      </x:c>
    </x:row>
  </x:sheetData>
  <x:mergeCells>
    <x:mergeCell ref="A1:N1"/>
  </x:mergeCells>
  <x:conditionalFormatting sqref="N5:N100">
    <x:cfRule type="cellIs" dxfId="0" priority="1" operator="greaterThan">
      <x:formula>0</x:formula>
    </x:cfRule>
  </x:conditionalFormatting>
  <x:conditionalFormatting sqref="G5:G100">
    <x:cfRule type="expression" dxfId="1" priority="2">
      <x:formula>$G5="AR"</x:formula>
    </x:cfRule>
    <x:cfRule type="expression" dxfId="2" priority="3">
      <x:formula>$G5="AP"</x:formula>
    </x:cfRule>
  </x:conditionalFormatting>
  <x:dataValidations count="2">
    <x:dataValidation type="list" sqref="G5:G100">
      <x:formula1>"AR,AP,No,Payroll liabilities"</x:formula1>
    </x:dataValidation>
    <x:dataValidation type="list" sqref="L5:L100">
      <x:formula1>"Open,Paid,Partially Paid,Bank Verification Pending,Partially Cleared,Capitalised,Posted"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33276a9cc34b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0" hidden="0" customWidth="1"/>
    <x:col min="5" max="5" width="14" hidden="0" customWidth="1"/>
    <x:col min="6" max="6" width="14" hidden="0" customWidth="1"/>
    <x:col min="7" max="7" width="24" hidden="0" customWidth="1"/>
    <x:col min="8" max="8" width="22" hidden="0" customWidth="1"/>
    <x:col min="9" max="9" width="18" hidden="0" customWidth="1"/>
    <x:col min="10" max="10" width="30" hidden="0" customWidth="1"/>
    <x:col min="11" max="11" width="14" hidden="0" customWidth="1"/>
  </x:cols>
  <x:sheetData>
    <x:row r="1" ht="28" customHeight="1">
      <x:c r="A1" s="100" t="str">
        <x:v>WP2 — Bank Verification Sheet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Bank statement is loaded after WP1. Receipts/payments clear AR/AP. New bank-only items are added here.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4" ht="24" customHeight="1">
      <x:c r="A4" s="26" t="str">
        <x:v>Bank Row</x:v>
      </x:c>
      <x:c r="B4" s="26" t="str">
        <x:v>Date</x:v>
      </x:c>
      <x:c r="C4" s="26" t="str">
        <x:v>Bank Ref</x:v>
      </x:c>
      <x:c r="D4" s="26" t="str">
        <x:v>Description</x:v>
      </x:c>
      <x:c r="E4" s="26" t="str">
        <x:v>Inflow</x:v>
      </x:c>
      <x:c r="F4" s="26" t="str">
        <x:v>Outflow</x:v>
      </x:c>
      <x:c r="G4" s="26" t="str">
        <x:v>Matched To</x:v>
      </x:c>
      <x:c r="H4" s="26" t="str">
        <x:v>AR/AP Action</x:v>
      </x:c>
      <x:c r="I4" s="26" t="str">
        <x:v>Status</x:v>
      </x:c>
      <x:c r="J4" s="26" t="str">
        <x:v>Timing / Query</x:v>
      </x:c>
      <x:c r="K4" s="26" t="str">
        <x:v>JV Source Tag</x:v>
      </x:c>
    </x:row>
    <x:row r="5">
      <x:c r="A5" t="str">
        <x:v>B001</x:v>
      </x:c>
      <x:c r="B5" s="32" t="n">
        <x:v>45666</x:v>
      </x:c>
      <x:c r="C5" t="str">
        <x:v>BR-001</x:v>
      </x:c>
      <x:c r="D5" t="str">
        <x:v>Receipt from Nusa Cafe</x:v>
      </x:c>
      <x:c r="E5" s="36" t="n">
        <x:v>8000</x:v>
      </x:c>
      <x:c r="F5" s="36"/>
      <x:c r="G5" t="str">
        <x:v>D002 / INV-2025-002</x:v>
      </x:c>
      <x:c r="H5" t="str">
        <x:v>Clear AR</x:v>
      </x:c>
      <x:c r="I5" t="str">
        <x:v>Matched</x:v>
      </x:c>
      <x:c r="J5" t="str"/>
      <x:c r="K5" t="str">
        <x:v>Bank+</x:v>
      </x:c>
    </x:row>
    <x:row r="6">
      <x:c r="A6" t="str">
        <x:v>B002</x:v>
      </x:c>
      <x:c r="B6" s="32" t="n">
        <x:v>45677</x:v>
      </x:c>
      <x:c r="C6" t="str">
        <x:v>BR-002</x:v>
      </x:c>
      <x:c r="D6" t="str">
        <x:v>Partial receipt from Bright Retail</x:v>
      </x:c>
      <x:c r="E6" s="36" t="n">
        <x:v>10000</x:v>
      </x:c>
      <x:c r="F6" s="36"/>
      <x:c r="G6" t="str">
        <x:v>D003 / INV-2025-003</x:v>
      </x:c>
      <x:c r="H6" t="str">
        <x:v>Clear AR partially</x:v>
      </x:c>
      <x:c r="I6" t="str">
        <x:v>Matched</x:v>
      </x:c>
      <x:c r="J6" t="str">
        <x:v>RM 4,160 still outstanding</x:v>
      </x:c>
      <x:c r="K6" t="str">
        <x:v>Bank+</x:v>
      </x:c>
    </x:row>
    <x:row r="7">
      <x:c r="A7" t="str">
        <x:v>B003</x:v>
      </x:c>
      <x:c r="B7" s="32" t="n">
        <x:v>45668</x:v>
      </x:c>
      <x:c r="C7" t="str">
        <x:v>BP-001</x:v>
      </x:c>
      <x:c r="D7" t="str">
        <x:v>Payment to Berjaya Fresh</x:v>
      </x:c>
      <x:c r="E7" s="36"/>
      <x:c r="F7" s="36" t="n">
        <x:v>3200</x:v>
      </x:c>
      <x:c r="G7" t="str">
        <x:v>D004 / INV-BF-881</x:v>
      </x:c>
      <x:c r="H7" t="str">
        <x:v>Clear AP</x:v>
      </x:c>
      <x:c r="I7" t="str">
        <x:v>Matched</x:v>
      </x:c>
      <x:c r="J7" t="str"/>
      <x:c r="K7" t="str">
        <x:v>Bank+</x:v>
      </x:c>
    </x:row>
    <x:row r="8">
      <x:c r="A8" t="str">
        <x:v>B004</x:v>
      </x:c>
      <x:c r="B8" s="32" t="n">
        <x:v>45672</x:v>
      </x:c>
      <x:c r="C8" t="str">
        <x:v>BP-002</x:v>
      </x:c>
      <x:c r="D8" t="str">
        <x:v>Rent payment to Landlord Group</x:v>
      </x:c>
      <x:c r="E8" s="36"/>
      <x:c r="F8" s="36" t="n">
        <x:v>4800</x:v>
      </x:c>
      <x:c r="G8" t="str">
        <x:v>D005 / INV-LG-101</x:v>
      </x:c>
      <x:c r="H8" t="str">
        <x:v>Clear AP</x:v>
      </x:c>
      <x:c r="I8" t="str">
        <x:v>Matched</x:v>
      </x:c>
      <x:c r="J8" t="str"/>
      <x:c r="K8" t="str">
        <x:v>Bank+</x:v>
      </x:c>
    </x:row>
    <x:row r="9">
      <x:c r="A9" t="str">
        <x:v>B005</x:v>
      </x:c>
      <x:c r="B9" s="32" t="n">
        <x:v>45688</x:v>
      </x:c>
      <x:c r="C9" t="str">
        <x:v>BP-003</x:v>
      </x:c>
      <x:c r="D9" t="str">
        <x:v>Net salary payment</x:v>
      </x:c>
      <x:c r="E9" s="36"/>
      <x:c r="F9" s="36" t="n">
        <x:v>14610</x:v>
      </x:c>
      <x:c r="G9" t="str">
        <x:v>D008 / PAY-JAN25</x:v>
      </x:c>
      <x:c r="H9" t="str">
        <x:v>Clear payroll liability</x:v>
      </x:c>
      <x:c r="I9" t="str">
        <x:v>Matched</x:v>
      </x:c>
      <x:c r="J9" t="str">
        <x:v>Statutory liabilities remain payable</x:v>
      </x:c>
      <x:c r="K9" t="str">
        <x:v>Bank+</x:v>
      </x:c>
    </x:row>
    <x:row r="10">
      <x:c r="A10" t="str">
        <x:v>B006</x:v>
      </x:c>
      <x:c r="B10" s="32" t="n">
        <x:v>45688</x:v>
      </x:c>
      <x:c r="C10" t="str">
        <x:v>BC-001</x:v>
      </x:c>
      <x:c r="D10" t="str">
        <x:v>Bank charges</x:v>
      </x:c>
      <x:c r="E10" s="36"/>
      <x:c r="F10" s="36" t="n">
        <x:v>25</x:v>
      </x:c>
      <x:c r="G10" t="str">
        <x:v>New entry from bank</x:v>
      </x:c>
      <x:c r="H10" t="str">
        <x:v>No AR/AP</x:v>
      </x:c>
      <x:c r="I10" t="str">
        <x:v>Added</x:v>
      </x:c>
      <x:c r="J10" t="str">
        <x:v>Bank-only item</x:v>
      </x:c>
      <x:c r="K10" t="str">
        <x:v>Bank+</x:v>
      </x:c>
    </x:row>
    <x:row r="11">
      <x:c r="A11" t="str">
        <x:v>B007</x:v>
      </x:c>
      <x:c r="B11" s="32" t="n">
        <x:v>45688</x:v>
      </x:c>
      <x:c r="C11" t="str">
        <x:v>OC-001</x:v>
      </x:c>
      <x:c r="D11" t="str">
        <x:v>Cheque issued to MetroBiz not presented</x:v>
      </x:c>
      <x:c r="E11" s="36"/>
      <x:c r="F11" s="36" t="n">
        <x:v>950</x:v>
      </x:c>
      <x:c r="G11" t="str">
        <x:v>D006 / INV-MB-221</x:v>
      </x:c>
      <x:c r="H11" t="str">
        <x:v>AP still open</x:v>
      </x:c>
      <x:c r="I11" t="str">
        <x:v>Outstanding cheque</x:v>
      </x:c>
      <x:c r="J11" t="str">
        <x:v>Carry forward to next month</x:v>
      </x:c>
      <x:c r="K11" t="str">
        <x:v>Timing</x:v>
      </x:c>
    </x:row>
  </x:sheetData>
  <x:mergeCells>
    <x:mergeCell ref="A1:K1"/>
  </x:mergeCells>
  <x:conditionalFormatting sqref="H5:H100">
    <x:cfRule type="expression" dxfId="3" priority="1">
      <x:formula>ISNUMBER(SEARCH("Clear AR",$H5))</x:formula>
    </x:cfRule>
    <x:cfRule type="expression" dxfId="4" priority="2">
      <x:formula>ISNUMBER(SEARCH("Clear AP",$H5))</x:formula>
    </x:cfRule>
  </x:conditionalFormatting>
  <x:conditionalFormatting sqref="I5:I100">
    <x:cfRule type="expression" dxfId="5" priority="3">
      <x:formula>$I5="Outstanding cheque"</x:formula>
    </x:cfRule>
  </x:conditionalFormatting>
  <x:dataValidations count="1">
    <x:dataValidation type="list" sqref="I5:I100">
      <x:formula1>"Matched,Added,Outstanding cheque,Deposit in transit,Query"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92e82cb29047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0" hidden="0" customWidth="1"/>
    <x:col min="10" max="10" width="18" hidden="0" customWidth="1"/>
    <x:col min="11" max="11" width="14" hidden="0" customWidth="1"/>
  </x:cols>
  <x:sheetData>
    <x:row r="1" ht="28" customHeight="1">
      <x:c r="A1" s="100" t="str">
        <x:v>AR Listing — Customer Invoices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This is the customer sub-ledger. Closing outstanding should agree to Trade Receivables in Trial Balance.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4" ht="24" customHeight="1">
      <x:c r="A4" s="42" t="str">
        <x:v>Doc ID</x:v>
      </x:c>
      <x:c r="B4" s="42" t="str">
        <x:v>Customer</x:v>
      </x:c>
      <x:c r="C4" s="42" t="str">
        <x:v>Invoice No</x:v>
      </x:c>
      <x:c r="D4" s="42" t="str">
        <x:v>Invoice Date</x:v>
      </x:c>
      <x:c r="E4" s="42" t="str">
        <x:v>Due Date</x:v>
      </x:c>
      <x:c r="F4" s="42" t="str">
        <x:v>Original Amount</x:v>
      </x:c>
      <x:c r="G4" s="42" t="str">
        <x:v>Receipts Matched</x:v>
      </x:c>
      <x:c r="H4" s="42" t="str">
        <x:v>Outstanding</x:v>
      </x:c>
      <x:c r="I4" s="42" t="str">
        <x:v>Age Days</x:v>
      </x:c>
      <x:c r="J4" s="42" t="str">
        <x:v>Aging Bucket</x:v>
      </x:c>
      <x:c r="K4" s="42" t="str">
        <x:v>Linked Bank Ref</x:v>
      </x:c>
    </x:row>
    <x:row r="5">
      <x:c r="A5" t="str">
        <x:v>D001</x:v>
      </x:c>
      <x:c r="B5" t="str">
        <x:v>Maya Food Supply</x:v>
      </x:c>
      <x:c r="C5" t="str">
        <x:v>INV-2025-001</x:v>
      </x:c>
      <x:c r="D5" s="32" t="n">
        <x:v>45660</x:v>
      </x:c>
      <x:c r="E5" s="32" t="n">
        <x:v>45690</x:v>
      </x:c>
      <x:c r="F5" s="36" t="n">
        <x:v>12500</x:v>
      </x:c>
      <x:c r="G5" s="36" t="n">
        <x:v>0</x:v>
      </x:c>
      <x:c r="H5" s="36" t="n">
        <x:f>F5-G5</x:f>
        <x:v>12500</x:v>
      </x:c>
      <x:c r="I5" t="n">
        <x:f>MAX(0,DATE(2025,1,31)-E5)</x:f>
        <x:v>0</x:v>
      </x:c>
      <x:c r="J5" t="str">
        <x:f>IF(H5=0,"Settled",IF(I5&lt;=30,"Current / 0-30",IF(I5&lt;=60,"31-60",IF(I5&lt;=90,"61-90","&gt;90"))))</x:f>
        <x:v>Current / 0-30</x:v>
      </x:c>
      <x:c r="K5" t="str"/>
    </x:row>
    <x:row r="6">
      <x:c r="A6" t="str">
        <x:v>D002</x:v>
      </x:c>
      <x:c r="B6" t="str">
        <x:v>Nusa Cafe</x:v>
      </x:c>
      <x:c r="C6" t="str">
        <x:v>INV-2025-002</x:v>
      </x:c>
      <x:c r="D6" s="32" t="n">
        <x:v>45663</x:v>
      </x:c>
      <x:c r="E6" s="32" t="n">
        <x:v>45693</x:v>
      </x:c>
      <x:c r="F6" s="36" t="n">
        <x:v>8000</x:v>
      </x:c>
      <x:c r="G6" s="36" t="n">
        <x:v>8000</x:v>
      </x:c>
      <x:c r="H6" s="36" t="n">
        <x:f>F6-G6</x:f>
        <x:v>0</x:v>
      </x:c>
      <x:c r="I6" t="n">
        <x:f>MAX(0,DATE(2025,1,31)-E6)</x:f>
        <x:v>0</x:v>
      </x:c>
      <x:c r="J6" t="str">
        <x:f>IF(H6=0,"Settled",IF(I6&lt;=30,"Current / 0-30",IF(I6&lt;=60,"31-60",IF(I6&lt;=90,"61-90","&gt;90"))))</x:f>
        <x:v>Settled</x:v>
      </x:c>
      <x:c r="K6" t="str">
        <x:v>BR-001</x:v>
      </x:c>
    </x:row>
    <x:row r="7">
      <x:c r="A7" t="str">
        <x:v>D003</x:v>
      </x:c>
      <x:c r="B7" t="str">
        <x:v>Bright Retail Sdn Bhd</x:v>
      </x:c>
      <x:c r="C7" t="str">
        <x:v>INV-2025-003</x:v>
      </x:c>
      <x:c r="D7" s="32" t="n">
        <x:v>45669</x:v>
      </x:c>
      <x:c r="E7" s="32" t="n">
        <x:v>45699</x:v>
      </x:c>
      <x:c r="F7" s="36" t="n">
        <x:v>14160</x:v>
      </x:c>
      <x:c r="G7" s="36" t="n">
        <x:v>10000</x:v>
      </x:c>
      <x:c r="H7" s="36" t="n">
        <x:f>F7-G7</x:f>
        <x:v>4160</x:v>
      </x:c>
      <x:c r="I7" t="n">
        <x:f>MAX(0,DATE(2025,1,31)-E7)</x:f>
        <x:v>0</x:v>
      </x:c>
      <x:c r="J7" t="str">
        <x:f>IF(H7=0,"Settled",IF(I7&lt;=30,"Current / 0-30",IF(I7&lt;=60,"31-60",IF(I7&lt;=90,"61-90","&gt;90"))))</x:f>
        <x:v>Current / 0-30</x:v>
      </x:c>
      <x:c r="K7" t="str">
        <x:v>BR-002</x:v>
      </x:c>
    </x:row>
    <x:row r="8">
      <x:c r="F8" s="36"/>
      <x:c r="G8" s="36"/>
      <x:c r="H8" s="36"/>
    </x:row>
    <x:row r="9">
      <x:c r="A9" t="str">
        <x:v>Control Total</x:v>
      </x:c>
      <x:c r="B9" t="str"/>
      <x:c r="C9" t="str"/>
      <x:c r="D9" t="str"/>
      <x:c r="E9" t="str"/>
      <x:c r="F9" s="36" t="str"/>
      <x:c r="G9" s="36" t="str"/>
      <x:c r="H9" s="36" t="n">
        <x:f>SUM(H5:H7)</x:f>
        <x:v>16660</x:v>
      </x:c>
      <x:c r="I9" t="str"/>
      <x:c r="J9" t="str"/>
      <x:c r="K9" t="str"/>
    </x:row>
  </x:sheetData>
  <x:mergeCells>
    <x:mergeCell ref="A1:K1"/>
  </x:mergeCells>
  <x:conditionalFormatting sqref="H5:H100">
    <x:cfRule type="cellIs" dxfId="6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9d5382c1fd4a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0" hidden="0" customWidth="1"/>
    <x:col min="10" max="10" width="18" hidden="0" customWidth="1"/>
    <x:col min="11" max="11" width="14" hidden="0" customWidth="1"/>
  </x:cols>
  <x:sheetData>
    <x:row r="1" ht="28" customHeight="1">
      <x:c r="A1" s="100" t="str">
        <x:v>AP Listing — Supplier Bills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This is the supplier sub-ledger. Closing outstanding should agree to Trade Payables in Trial Balance.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4" ht="24" customHeight="1">
      <x:c r="A4" s="52" t="str">
        <x:v>Doc ID</x:v>
      </x:c>
      <x:c r="B4" s="52" t="str">
        <x:v>Supplier</x:v>
      </x:c>
      <x:c r="C4" s="52" t="str">
        <x:v>Bill No</x:v>
      </x:c>
      <x:c r="D4" s="52" t="str">
        <x:v>Bill Date</x:v>
      </x:c>
      <x:c r="E4" s="52" t="str">
        <x:v>Due Date</x:v>
      </x:c>
      <x:c r="F4" s="52" t="str">
        <x:v>Original Amount</x:v>
      </x:c>
      <x:c r="G4" s="52" t="str">
        <x:v>Payments Matched</x:v>
      </x:c>
      <x:c r="H4" s="52" t="str">
        <x:v>Outstanding</x:v>
      </x:c>
      <x:c r="I4" s="52" t="str">
        <x:v>Age Days</x:v>
      </x:c>
      <x:c r="J4" s="52" t="str">
        <x:v>Aging Bucket</x:v>
      </x:c>
      <x:c r="K4" s="52" t="str">
        <x:v>Linked Bank Ref</x:v>
      </x:c>
    </x:row>
    <x:row r="5">
      <x:c r="A5" t="str">
        <x:v>D004</x:v>
      </x:c>
      <x:c r="B5" t="str">
        <x:v>Berjaya Fresh</x:v>
      </x:c>
      <x:c r="C5" t="str">
        <x:v>INV-BF-881</x:v>
      </x:c>
      <x:c r="D5" s="32" t="n">
        <x:v>45662</x:v>
      </x:c>
      <x:c r="E5" s="32" t="n">
        <x:v>45692</x:v>
      </x:c>
      <x:c r="F5" s="36" t="n">
        <x:v>3200</x:v>
      </x:c>
      <x:c r="G5" s="36" t="n">
        <x:v>3200</x:v>
      </x:c>
      <x:c r="H5" s="36" t="n">
        <x:f>F5-G5</x:f>
        <x:v>0</x:v>
      </x:c>
      <x:c r="I5" t="n">
        <x:f>MAX(0,DATE(2025,1,31)-E5)</x:f>
        <x:v>0</x:v>
      </x:c>
      <x:c r="J5" t="str">
        <x:f>IF(H5=0,"Settled",IF(I5&lt;=30,"Current / 0-30",IF(I5&lt;=60,"31-60",IF(I5&lt;=90,"61-90","&gt;90"))))</x:f>
        <x:v>Settled</x:v>
      </x:c>
      <x:c r="K5" t="str">
        <x:v>BP-001</x:v>
      </x:c>
    </x:row>
    <x:row r="6">
      <x:c r="A6" t="str">
        <x:v>D005</x:v>
      </x:c>
      <x:c r="B6" t="str">
        <x:v>Landlord Group</x:v>
      </x:c>
      <x:c r="C6" t="str">
        <x:v>INV-LG-101</x:v>
      </x:c>
      <x:c r="D6" s="32" t="n">
        <x:v>45665</x:v>
      </x:c>
      <x:c r="E6" s="32" t="n">
        <x:v>45688</x:v>
      </x:c>
      <x:c r="F6" s="36" t="n">
        <x:v>4800</x:v>
      </x:c>
      <x:c r="G6" s="36" t="n">
        <x:v>4800</x:v>
      </x:c>
      <x:c r="H6" s="36" t="n">
        <x:f>F6-G6</x:f>
        <x:v>0</x:v>
      </x:c>
      <x:c r="I6" t="n">
        <x:f>MAX(0,DATE(2025,1,31)-E6)</x:f>
        <x:v>0</x:v>
      </x:c>
      <x:c r="J6" t="str">
        <x:f>IF(H6=0,"Settled",IF(I6&lt;=30,"Current / 0-30",IF(I6&lt;=60,"31-60",IF(I6&lt;=90,"61-90","&gt;90"))))</x:f>
        <x:v>Settled</x:v>
      </x:c>
      <x:c r="K6" t="str">
        <x:v>BP-002</x:v>
      </x:c>
    </x:row>
    <x:row r="7">
      <x:c r="A7" t="str">
        <x:v>D006</x:v>
      </x:c>
      <x:c r="B7" t="str">
        <x:v>MetroBiz Supplies</x:v>
      </x:c>
      <x:c r="C7" t="str">
        <x:v>INV-MB-221</x:v>
      </x:c>
      <x:c r="D7" s="32" t="n">
        <x:v>45675</x:v>
      </x:c>
      <x:c r="E7" s="32" t="n">
        <x:v>45705</x:v>
      </x:c>
      <x:c r="F7" s="36" t="n">
        <x:v>950</x:v>
      </x:c>
      <x:c r="G7" s="36" t="n">
        <x:v>0</x:v>
      </x:c>
      <x:c r="H7" s="36" t="n">
        <x:f>F7-G7</x:f>
        <x:v>950</x:v>
      </x:c>
      <x:c r="I7" t="n">
        <x:f>MAX(0,DATE(2025,1,31)-E7)</x:f>
        <x:v>0</x:v>
      </x:c>
      <x:c r="J7" t="str">
        <x:f>IF(H7=0,"Settled",IF(I7&lt;=30,"Current / 0-30",IF(I7&lt;=60,"31-60",IF(I7&lt;=90,"61-90","&gt;90"))))</x:f>
        <x:v>Current / 0-30</x:v>
      </x:c>
      <x:c r="K7" t="str">
        <x:v>OC-001</x:v>
      </x:c>
    </x:row>
    <x:row r="8">
      <x:c r="F8" s="36"/>
      <x:c r="G8" s="36"/>
      <x:c r="H8" s="36"/>
    </x:row>
    <x:row r="9">
      <x:c r="A9" t="str">
        <x:v>Control Total</x:v>
      </x:c>
      <x:c r="B9" t="str"/>
      <x:c r="C9" t="str"/>
      <x:c r="D9" t="str"/>
      <x:c r="E9" t="str"/>
      <x:c r="F9" s="36" t="str"/>
      <x:c r="G9" s="36" t="str"/>
      <x:c r="H9" s="36" t="n">
        <x:f>SUM(H5:H7)</x:f>
        <x:v>950</x:v>
      </x:c>
      <x:c r="I9" t="str"/>
      <x:c r="J9" t="str"/>
      <x:c r="K9" t="str"/>
    </x:row>
  </x:sheetData>
  <x:mergeCells>
    <x:mergeCell ref="A1:K1"/>
  </x:mergeCells>
  <x:conditionalFormatting sqref="H5:H100">
    <x:cfRule type="cellIs" dxfId="7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a7f8cb941340e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32" hidden="0" customWidth="1"/>
    <x:col min="9" max="9" width="36" hidden="0" customWidth="1"/>
    <x:col min="10" max="10" width="14" hidden="0" customWidth="1"/>
  </x:cols>
  <x:sheetData>
    <x:row r="1" ht="28" customHeight="1">
      <x:c r="A1" s="100" t="str">
        <x:v>Open Items — Carry Forward Control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Items here are not errors. They are unpaid AR/AP or timing items that must be watched in the next session.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4" ht="24" customHeight="1">
      <x:c r="A4" s="62" t="str">
        <x:v>Item Type</x:v>
      </x:c>
      <x:c r="B4" s="62" t="str">
        <x:v>Source</x:v>
      </x:c>
      <x:c r="C4" s="62" t="str">
        <x:v>Counterparty</x:v>
      </x:c>
      <x:c r="D4" s="62" t="str">
        <x:v>Reference</x:v>
      </x:c>
      <x:c r="E4" s="62" t="str">
        <x:v>Original Amount</x:v>
      </x:c>
      <x:c r="F4" s="62" t="str">
        <x:v>Settled</x:v>
      </x:c>
      <x:c r="G4" s="62" t="str">
        <x:v>Outstanding</x:v>
      </x:c>
      <x:c r="H4" s="62" t="str">
        <x:v>Reason</x:v>
      </x:c>
      <x:c r="I4" s="62" t="str">
        <x:v>Next Action</x:v>
      </x:c>
      <x:c r="J4" s="62" t="str">
        <x:v>Carry Forward?</x:v>
      </x:c>
    </x:row>
    <x:row r="5">
      <x:c r="A5" t="str">
        <x:v>AR</x:v>
      </x:c>
      <x:c r="B5" t="str">
        <x:v>WP1/AR Listing</x:v>
      </x:c>
      <x:c r="C5" t="str">
        <x:v>Maya Food Supply</x:v>
      </x:c>
      <x:c r="D5" t="str">
        <x:v>INV-2025-001</x:v>
      </x:c>
      <x:c r="E5" s="36" t="n">
        <x:v>12500</x:v>
      </x:c>
      <x:c r="F5" s="36" t="n">
        <x:v>0</x:v>
      </x:c>
      <x:c r="G5" s="36" t="n">
        <x:f>E5-F5</x:f>
        <x:v>12500</x:v>
      </x:c>
      <x:c r="H5" t="str">
        <x:v>Customer invoice unpaid at month-end</x:v>
      </x:c>
      <x:c r="I5" t="str">
        <x:v>Check February bank for receipt</x:v>
      </x:c>
      <x:c r="J5" t="str">
        <x:v>Yes</x:v>
      </x:c>
    </x:row>
    <x:row r="6">
      <x:c r="A6" t="str">
        <x:v>AR</x:v>
      </x:c>
      <x:c r="B6" t="str">
        <x:v>WP1/AR Listing</x:v>
      </x:c>
      <x:c r="C6" t="str">
        <x:v>Bright Retail Sdn Bhd</x:v>
      </x:c>
      <x:c r="D6" t="str">
        <x:v>INV-2025-003</x:v>
      </x:c>
      <x:c r="E6" s="36" t="n">
        <x:v>14160</x:v>
      </x:c>
      <x:c r="F6" s="36" t="n">
        <x:v>10000</x:v>
      </x:c>
      <x:c r="G6" s="36" t="n">
        <x:f>E6-F6</x:f>
        <x:v>4160</x:v>
      </x:c>
      <x:c r="H6" t="str">
        <x:v>Partial receipt received</x:v>
      </x:c>
      <x:c r="I6" t="str">
        <x:v>Follow up remaining RM 4,160</x:v>
      </x:c>
      <x:c r="J6" t="str">
        <x:v>Yes</x:v>
      </x:c>
    </x:row>
    <x:row r="7">
      <x:c r="A7" t="str">
        <x:v>AP</x:v>
      </x:c>
      <x:c r="B7" t="str">
        <x:v>WP1/AP Listing</x:v>
      </x:c>
      <x:c r="C7" t="str">
        <x:v>MetroBiz Supplies</x:v>
      </x:c>
      <x:c r="D7" t="str">
        <x:v>INV-MB-221</x:v>
      </x:c>
      <x:c r="E7" s="36" t="n">
        <x:v>950</x:v>
      </x:c>
      <x:c r="F7" s="36" t="n">
        <x:v>0</x:v>
      </x:c>
      <x:c r="G7" s="36" t="n">
        <x:f>E7-F7</x:f>
        <x:v>950</x:v>
      </x:c>
      <x:c r="H7" t="str">
        <x:v>Cheque issued but not presented</x:v>
      </x:c>
      <x:c r="I7" t="str">
        <x:v>Check February bank for cheque clearance</x:v>
      </x:c>
      <x:c r="J7" t="str">
        <x:v>Yes</x:v>
      </x:c>
    </x:row>
    <x:row r="8">
      <x:c r="A8" t="str">
        <x:v>Payroll Statutory</x:v>
      </x:c>
      <x:c r="B8" t="str">
        <x:v>WP1/WP2</x:v>
      </x:c>
      <x:c r="C8" t="str">
        <x:v>EPF/SOCSO/EIS/PCB</x:v>
      </x:c>
      <x:c r="D8" t="str">
        <x:v>PAY-JAN25</x:v>
      </x:c>
      <x:c r="E8" s="36" t="n">
        <x:v>3390</x:v>
      </x:c>
      <x:c r="F8" s="36" t="n">
        <x:v>0</x:v>
      </x:c>
      <x:c r="G8" s="36" t="n">
        <x:f>E8-F8</x:f>
        <x:v>3390</x:v>
      </x:c>
      <x:c r="H8" t="str">
        <x:v>Statutory liabilities remain payable</x:v>
      </x:c>
      <x:c r="I8" t="str">
        <x:v>Confirm payment in February</x:v>
      </x:c>
      <x:c r="J8" t="str">
        <x:v>Yes</x:v>
      </x:c>
    </x:row>
  </x:sheetData>
  <x:mergeCells>
    <x:mergeCell ref="A1:J1"/>
  </x:mergeCells>
  <x:dataValidations count="1">
    <x:dataValidation type="list" sqref="J5:J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9896aa76f94de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2" hidden="0" customWidth="1"/>
    <x:col min="4" max="4" width="14" hidden="0" customWidth="1"/>
    <x:col min="5" max="5" width="26" hidden="0" customWidth="1"/>
    <x:col min="6" max="6" width="14" hidden="0" customWidth="1"/>
    <x:col min="7" max="7" width="14" hidden="0" customWidth="1"/>
    <x:col min="8" max="8" width="20" hidden="0" customWidth="1"/>
    <x:col min="9" max="9" width="18" hidden="0" customWidth="1"/>
  </x:cols>
  <x:sheetData>
    <x:row r="1" ht="28" customHeight="1">
      <x:c r="A1" s="100" t="str">
        <x:v>Adjusting Entries</x:v>
      </x:c>
      <x:c r="B1" s="100"/>
      <x:c r="C1" s="100"/>
      <x:c r="D1" s="100"/>
      <x:c r="E1" s="100"/>
      <x:c r="F1" s="100"/>
      <x:c r="G1" s="100"/>
      <x:c r="H1" s="100"/>
      <x:c r="I1" s="100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Entries without direct bank movement, such as accruals, depreciation and reversals.</x:v>
      </x:c>
      <x:c r="B2" t="str"/>
      <x:c r="C2" t="str"/>
      <x:c r="D2" t="str"/>
      <x:c r="E2" t="str"/>
      <x:c r="F2" t="str"/>
      <x:c r="G2" t="str"/>
      <x:c r="H2" t="str"/>
      <x:c r="I2" t="str"/>
    </x:row>
    <x:row r="4" ht="24" customHeight="1">
      <x:c r="A4" s="72" t="str">
        <x:v>Adj ID</x:v>
      </x:c>
      <x:c r="B4" s="72" t="str">
        <x:v>Date</x:v>
      </x:c>
      <x:c r="C4" s="72" t="str">
        <x:v>Description</x:v>
      </x:c>
      <x:c r="D4" s="72" t="str">
        <x:v>Account Code</x:v>
      </x:c>
      <x:c r="E4" s="72" t="str">
        <x:v>Account Name</x:v>
      </x:c>
      <x:c r="F4" s="72" t="str">
        <x:v>Debit</x:v>
      </x:c>
      <x:c r="G4" s="72" t="str">
        <x:v>Credit</x:v>
      </x:c>
      <x:c r="H4" s="72" t="str">
        <x:v>Source</x:v>
      </x:c>
      <x:c r="I4" s="72" t="str">
        <x:v>Reverse Next Month?</x:v>
      </x:c>
    </x:row>
    <x:row r="5">
      <x:c r="A5" t="str">
        <x:v>A001</x:v>
      </x:c>
      <x:c r="B5" s="32" t="n">
        <x:v>45688</x:v>
      </x:c>
      <x:c r="C5" t="str">
        <x:v>Monthly depreciation - equipment</x:v>
      </x:c>
      <x:c r="D5" t="str">
        <x:v>6500</x:v>
      </x:c>
      <x:c r="E5" t="str">
        <x:v>Depreciation Expense</x:v>
      </x:c>
      <x:c r="F5" s="36" t="n">
        <x:v>316.67</x:v>
      </x:c>
      <x:c r="G5" s="36"/>
      <x:c r="H5" t="str">
        <x:v>Depreciation Schedule</x:v>
      </x:c>
      <x:c r="I5" t="str">
        <x:v>No</x:v>
      </x:c>
    </x:row>
    <x:row r="6">
      <x:c r="A6" t="str">
        <x:v>A001</x:v>
      </x:c>
      <x:c r="B6" s="32" t="n">
        <x:v>45688</x:v>
      </x:c>
      <x:c r="C6" t="str">
        <x:v>Monthly depreciation - equipment</x:v>
      </x:c>
      <x:c r="D6" t="str">
        <x:v>1590</x:v>
      </x:c>
      <x:c r="E6" t="str">
        <x:v>Accumulated Depreciation</x:v>
      </x:c>
      <x:c r="F6" s="36"/>
      <x:c r="G6" s="36" t="n">
        <x:v>316.67</x:v>
      </x:c>
      <x:c r="H6" t="str">
        <x:v>Depreciation Schedule</x:v>
      </x:c>
      <x:c r="I6" t="str">
        <x:v>No</x:v>
      </x:c>
    </x:row>
    <x:row r="7">
      <x:c r="A7" t="str">
        <x:v>A002</x:v>
      </x:c>
      <x:c r="B7" s="32" t="n">
        <x:v>45688</x:v>
      </x:c>
      <x:c r="C7" t="str">
        <x:v>Accrue utilities bill not received</x:v>
      </x:c>
      <x:c r="D7" t="str">
        <x:v>6120</x:v>
      </x:c>
      <x:c r="E7" t="str">
        <x:v>Utilities Expense</x:v>
      </x:c>
      <x:c r="F7" s="36" t="n">
        <x:v>420</x:v>
      </x:c>
      <x:c r="G7" s="36"/>
      <x:c r="H7" t="str">
        <x:v>Manual Accrual</x:v>
      </x:c>
      <x:c r="I7" t="str">
        <x:v>Yes</x:v>
      </x:c>
    </x:row>
    <x:row r="8">
      <x:c r="A8" t="str">
        <x:v>A002</x:v>
      </x:c>
      <x:c r="B8" s="32" t="n">
        <x:v>45688</x:v>
      </x:c>
      <x:c r="C8" t="str">
        <x:v>Accrue utilities bill not received</x:v>
      </x:c>
      <x:c r="D8" t="str">
        <x:v>2050</x:v>
      </x:c>
      <x:c r="E8" t="str">
        <x:v>Accrued Expenses</x:v>
      </x:c>
      <x:c r="F8" s="36"/>
      <x:c r="G8" s="36" t="n">
        <x:v>420</x:v>
      </x:c>
      <x:c r="H8" t="str">
        <x:v>Manual Accrual</x:v>
      </x:c>
      <x:c r="I8" t="str">
        <x:v>Yes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f9fb5c2338b49e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8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  <x:col min="9" max="9" width="38" hidden="0" customWidth="1"/>
  </x:cols>
  <x:sheetData>
    <x:row r="1" ht="28" customHeight="1">
      <x:c r="A1" s="100" t="str">
        <x:v>Journal Voucher — Generated from WP1, WP2 and Adjusting Entries</x:v>
      </x:c>
      <x:c r="B1" s="100"/>
      <x:c r="C1" s="100"/>
      <x:c r="D1" s="100"/>
      <x:c r="E1" s="100"/>
      <x:c r="F1" s="100"/>
      <x:c r="G1" s="100"/>
      <x:c r="H1" s="100"/>
      <x:c r="I1" s="100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This is the full debit/credit output. AR/AP creation and clearing entries are source-tagged.</x:v>
      </x:c>
      <x:c r="B2" t="str"/>
      <x:c r="C2" t="str"/>
      <x:c r="D2" t="str"/>
      <x:c r="E2" t="str"/>
      <x:c r="F2" t="str"/>
      <x:c r="G2" t="str"/>
      <x:c r="H2" t="str"/>
      <x:c r="I2" t="str"/>
    </x:row>
    <x:row r="4" ht="24" customHeight="1">
      <x:c r="A4" s="26" t="str">
        <x:v>JV No</x:v>
      </x:c>
      <x:c r="B4" s="26" t="str">
        <x:v>Date</x:v>
      </x:c>
      <x:c r="C4" s="26" t="str">
        <x:v>Source Tag</x:v>
      </x:c>
      <x:c r="D4" s="26" t="str">
        <x:v>Doc / Bank Ref</x:v>
      </x:c>
      <x:c r="E4" s="26" t="str">
        <x:v>Account Code</x:v>
      </x:c>
      <x:c r="F4" s="26" t="str">
        <x:v>Account Name</x:v>
      </x:c>
      <x:c r="G4" s="26" t="str">
        <x:v>Debit</x:v>
      </x:c>
      <x:c r="H4" s="26" t="str">
        <x:v>Credit</x:v>
      </x:c>
      <x:c r="I4" s="26" t="str">
        <x:v>Narration</x:v>
      </x:c>
    </x:row>
    <x:row r="5">
      <x:c r="A5" t="str">
        <x:v>JV001</x:v>
      </x:c>
      <x:c r="B5" s="32" t="n">
        <x:v>45660</x:v>
      </x:c>
      <x:c r="C5" t="str">
        <x:v>Doc</x:v>
      </x:c>
      <x:c r="D5" t="str">
        <x:v>INV-2025-001</x:v>
      </x:c>
      <x:c r="E5" t="str">
        <x:v>1100</x:v>
      </x:c>
      <x:c r="F5" t="str">
        <x:v>Trade Receivables</x:v>
      </x:c>
      <x:c r="G5" s="36" t="n">
        <x:v>12500</x:v>
      </x:c>
      <x:c r="H5" s="36"/>
      <x:c r="I5" t="str">
        <x:v>Recognise sales invoice and AR</x:v>
      </x:c>
    </x:row>
    <x:row r="6">
      <x:c r="A6" t="str">
        <x:v>JV001</x:v>
      </x:c>
      <x:c r="B6" s="32" t="n">
        <x:v>45660</x:v>
      </x:c>
      <x:c r="C6" t="str">
        <x:v>Doc</x:v>
      </x:c>
      <x:c r="D6" t="str">
        <x:v>INV-2025-001</x:v>
      </x:c>
      <x:c r="E6" t="str">
        <x:v>4100</x:v>
      </x:c>
      <x:c r="F6" t="str">
        <x:v>Sales Revenue</x:v>
      </x:c>
      <x:c r="G6" s="36"/>
      <x:c r="H6" s="36" t="n">
        <x:v>12500</x:v>
      </x:c>
      <x:c r="I6" t="str">
        <x:v>Recognise sales invoice and AR</x:v>
      </x:c>
    </x:row>
    <x:row r="7">
      <x:c r="A7" t="str">
        <x:v>JV002</x:v>
      </x:c>
      <x:c r="B7" s="32" t="n">
        <x:v>45663</x:v>
      </x:c>
      <x:c r="C7" t="str">
        <x:v>Doc</x:v>
      </x:c>
      <x:c r="D7" t="str">
        <x:v>INV-2025-002</x:v>
      </x:c>
      <x:c r="E7" t="str">
        <x:v>1100</x:v>
      </x:c>
      <x:c r="F7" t="str">
        <x:v>Trade Receivables</x:v>
      </x:c>
      <x:c r="G7" s="36" t="n">
        <x:v>8000</x:v>
      </x:c>
      <x:c r="H7" s="36"/>
      <x:c r="I7" t="str">
        <x:v>Recognise sales invoice and AR</x:v>
      </x:c>
    </x:row>
    <x:row r="8">
      <x:c r="A8" t="str">
        <x:v>JV002</x:v>
      </x:c>
      <x:c r="B8" s="32" t="n">
        <x:v>45663</x:v>
      </x:c>
      <x:c r="C8" t="str">
        <x:v>Doc</x:v>
      </x:c>
      <x:c r="D8" t="str">
        <x:v>INV-2025-002</x:v>
      </x:c>
      <x:c r="E8" t="str">
        <x:v>4100</x:v>
      </x:c>
      <x:c r="F8" t="str">
        <x:v>Sales Revenue</x:v>
      </x:c>
      <x:c r="G8" s="36"/>
      <x:c r="H8" s="36" t="n">
        <x:v>8000</x:v>
      </x:c>
      <x:c r="I8" t="str">
        <x:v>Recognise sales invoice and AR</x:v>
      </x:c>
    </x:row>
    <x:row r="9">
      <x:c r="A9" t="str">
        <x:v>JV003</x:v>
      </x:c>
      <x:c r="B9" s="32" t="n">
        <x:v>45669</x:v>
      </x:c>
      <x:c r="C9" t="str">
        <x:v>Doc</x:v>
      </x:c>
      <x:c r="D9" t="str">
        <x:v>INV-2025-003</x:v>
      </x:c>
      <x:c r="E9" t="str">
        <x:v>1100</x:v>
      </x:c>
      <x:c r="F9" t="str">
        <x:v>Trade Receivables</x:v>
      </x:c>
      <x:c r="G9" s="36" t="n">
        <x:v>14160</x:v>
      </x:c>
      <x:c r="H9" s="36"/>
      <x:c r="I9" t="str">
        <x:v>Recognise sales invoice and AR</x:v>
      </x:c>
    </x:row>
    <x:row r="10">
      <x:c r="A10" t="str">
        <x:v>JV003</x:v>
      </x:c>
      <x:c r="B10" s="32" t="n">
        <x:v>45669</x:v>
      </x:c>
      <x:c r="C10" t="str">
        <x:v>Doc</x:v>
      </x:c>
      <x:c r="D10" t="str">
        <x:v>INV-2025-003</x:v>
      </x:c>
      <x:c r="E10" t="str">
        <x:v>4100</x:v>
      </x:c>
      <x:c r="F10" t="str">
        <x:v>Sales Revenue</x:v>
      </x:c>
      <x:c r="G10" s="36"/>
      <x:c r="H10" s="36" t="n">
        <x:v>14160</x:v>
      </x:c>
      <x:c r="I10" t="str">
        <x:v>Recognise sales invoice and AR</x:v>
      </x:c>
    </x:row>
    <x:row r="11">
      <x:c r="A11" t="str">
        <x:v>JV004</x:v>
      </x:c>
      <x:c r="B11" s="32" t="n">
        <x:v>45662</x:v>
      </x:c>
      <x:c r="C11" t="str">
        <x:v>Doc</x:v>
      </x:c>
      <x:c r="D11" t="str">
        <x:v>INV-BF-881</x:v>
      </x:c>
      <x:c r="E11" t="str">
        <x:v>5020</x:v>
      </x:c>
      <x:c r="F11" t="str">
        <x:v>Direct Materials</x:v>
      </x:c>
      <x:c r="G11" s="36" t="n">
        <x:v>3200</x:v>
      </x:c>
      <x:c r="H11" s="36"/>
      <x:c r="I11" t="str">
        <x:v>Recognise supplier bill and AP</x:v>
      </x:c>
    </x:row>
    <x:row r="12">
      <x:c r="A12" t="str">
        <x:v>JV004</x:v>
      </x:c>
      <x:c r="B12" s="32" t="n">
        <x:v>45662</x:v>
      </x:c>
      <x:c r="C12" t="str">
        <x:v>Doc</x:v>
      </x:c>
      <x:c r="D12" t="str">
        <x:v>INV-BF-881</x:v>
      </x:c>
      <x:c r="E12" t="str">
        <x:v>2000</x:v>
      </x:c>
      <x:c r="F12" t="str">
        <x:v>Trade Payables</x:v>
      </x:c>
      <x:c r="G12" s="36"/>
      <x:c r="H12" s="36" t="n">
        <x:v>3200</x:v>
      </x:c>
      <x:c r="I12" t="str">
        <x:v>Recognise supplier bill and AP</x:v>
      </x:c>
    </x:row>
    <x:row r="13">
      <x:c r="A13" t="str">
        <x:v>JV005</x:v>
      </x:c>
      <x:c r="B13" s="32" t="n">
        <x:v>45665</x:v>
      </x:c>
      <x:c r="C13" t="str">
        <x:v>Doc</x:v>
      </x:c>
      <x:c r="D13" t="str">
        <x:v>INV-LG-101</x:v>
      </x:c>
      <x:c r="E13" t="str">
        <x:v>6110</x:v>
      </x:c>
      <x:c r="F13" t="str">
        <x:v>Rent Expense</x:v>
      </x:c>
      <x:c r="G13" s="36" t="n">
        <x:v>4800</x:v>
      </x:c>
      <x:c r="H13" s="36"/>
      <x:c r="I13" t="str">
        <x:v>Recognise supplier bill and AP</x:v>
      </x:c>
    </x:row>
    <x:row r="14">
      <x:c r="A14" t="str">
        <x:v>JV005</x:v>
      </x:c>
      <x:c r="B14" s="32" t="n">
        <x:v>45665</x:v>
      </x:c>
      <x:c r="C14" t="str">
        <x:v>Doc</x:v>
      </x:c>
      <x:c r="D14" t="str">
        <x:v>INV-LG-101</x:v>
      </x:c>
      <x:c r="E14" t="str">
        <x:v>2000</x:v>
      </x:c>
      <x:c r="F14" t="str">
        <x:v>Trade Payables</x:v>
      </x:c>
      <x:c r="G14" s="36"/>
      <x:c r="H14" s="36" t="n">
        <x:v>4800</x:v>
      </x:c>
      <x:c r="I14" t="str">
        <x:v>Recognise supplier bill and AP</x:v>
      </x:c>
    </x:row>
    <x:row r="15">
      <x:c r="A15" t="str">
        <x:v>JV006</x:v>
      </x:c>
      <x:c r="B15" s="32" t="n">
        <x:v>45675</x:v>
      </x:c>
      <x:c r="C15" t="str">
        <x:v>Doc</x:v>
      </x:c>
      <x:c r="D15" t="str">
        <x:v>INV-MB-221</x:v>
      </x:c>
      <x:c r="E15" t="str">
        <x:v>6100</x:v>
      </x:c>
      <x:c r="F15" t="str">
        <x:v>Office Supplies</x:v>
      </x:c>
      <x:c r="G15" s="36" t="n">
        <x:v>950</x:v>
      </x:c>
      <x:c r="H15" s="36"/>
      <x:c r="I15" t="str">
        <x:v>Recognise supplier bill and AP</x:v>
      </x:c>
    </x:row>
    <x:row r="16">
      <x:c r="A16" t="str">
        <x:v>JV006</x:v>
      </x:c>
      <x:c r="B16" s="32" t="n">
        <x:v>45675</x:v>
      </x:c>
      <x:c r="C16" t="str">
        <x:v>Doc</x:v>
      </x:c>
      <x:c r="D16" t="str">
        <x:v>INV-MB-221</x:v>
      </x:c>
      <x:c r="E16" t="str">
        <x:v>2000</x:v>
      </x:c>
      <x:c r="F16" t="str">
        <x:v>Trade Payables</x:v>
      </x:c>
      <x:c r="G16" s="36"/>
      <x:c r="H16" s="36" t="n">
        <x:v>950</x:v>
      </x:c>
      <x:c r="I16" t="str">
        <x:v>Recognise supplier bill and AP</x:v>
      </x:c>
    </x:row>
    <x:row r="17">
      <x:c r="A17" t="str">
        <x:v>JV007</x:v>
      </x:c>
      <x:c r="B17" s="32" t="n">
        <x:v>45667</x:v>
      </x:c>
      <x:c r="C17" t="str">
        <x:v>Split</x:v>
      </x:c>
      <x:c r="D17" t="str">
        <x:v>POL-889</x:v>
      </x:c>
      <x:c r="E17" t="str">
        <x:v>6380</x:v>
      </x:c>
      <x:c r="F17" t="str">
        <x:v>Insurance Expense</x:v>
      </x:c>
      <x:c r="G17" s="36" t="n">
        <x:v>1000</x:v>
      </x:c>
      <x:c r="H17" s="36"/>
      <x:c r="I17" t="str">
        <x:v>One month insurance expense</x:v>
      </x:c>
    </x:row>
    <x:row r="18">
      <x:c r="A18" t="str">
        <x:v>JV007</x:v>
      </x:c>
      <x:c r="B18" s="32" t="n">
        <x:v>45667</x:v>
      </x:c>
      <x:c r="C18" t="str">
        <x:v>Split</x:v>
      </x:c>
      <x:c r="D18" t="str">
        <x:v>POL-889</x:v>
      </x:c>
      <x:c r="E18" t="str">
        <x:v>1120</x:v>
      </x:c>
      <x:c r="F18" t="str">
        <x:v>Prepaid Expenses</x:v>
      </x:c>
      <x:c r="G18" s="36" t="n">
        <x:v>11000</x:v>
      </x:c>
      <x:c r="H18" s="36"/>
      <x:c r="I18" t="str">
        <x:v>Insurance prepaid balance</x:v>
      </x:c>
    </x:row>
    <x:row r="19">
      <x:c r="A19" t="str">
        <x:v>JV007</x:v>
      </x:c>
      <x:c r="B19" s="32" t="n">
        <x:v>45667</x:v>
      </x:c>
      <x:c r="C19" t="str">
        <x:v>Split</x:v>
      </x:c>
      <x:c r="D19" t="str">
        <x:v>POL-889</x:v>
      </x:c>
      <x:c r="E19" t="str">
        <x:v>1000</x:v>
      </x:c>
      <x:c r="F19" t="str">
        <x:v>Bank</x:v>
      </x:c>
      <x:c r="G19" s="36"/>
      <x:c r="H19" s="36" t="n">
        <x:v>12000</x:v>
      </x:c>
      <x:c r="I19" t="str">
        <x:v>Insurance policy paid</x:v>
      </x:c>
    </x:row>
    <x:row r="20">
      <x:c r="A20" t="str">
        <x:v>JV008</x:v>
      </x:c>
      <x:c r="B20" s="32" t="n">
        <x:v>45688</x:v>
      </x:c>
      <x:c r="C20" t="str">
        <x:v>Split</x:v>
      </x:c>
      <x:c r="D20" t="str">
        <x:v>PAY-JAN25</x:v>
      </x:c>
      <x:c r="E20" t="str">
        <x:v>6200</x:v>
      </x:c>
      <x:c r="F20" t="str">
        <x:v>Salaries and Wages</x:v>
      </x:c>
      <x:c r="G20" s="36" t="n">
        <x:v>18000</x:v>
      </x:c>
      <x:c r="H20" s="36"/>
      <x:c r="I20" t="str">
        <x:v>Gross payroll</x:v>
      </x:c>
    </x:row>
    <x:row r="21">
      <x:c r="A21" t="str">
        <x:v>JV008</x:v>
      </x:c>
      <x:c r="B21" s="32" t="n">
        <x:v>45688</x:v>
      </x:c>
      <x:c r="C21" t="str">
        <x:v>Split</x:v>
      </x:c>
      <x:c r="D21" t="str">
        <x:v>PAY-JAN25</x:v>
      </x:c>
      <x:c r="E21" t="str">
        <x:v>2010</x:v>
      </x:c>
      <x:c r="F21" t="str">
        <x:v>EPF Payable</x:v>
      </x:c>
      <x:c r="G21" s="36"/>
      <x:c r="H21" s="36" t="n">
        <x:v>2340</x:v>
      </x:c>
      <x:c r="I21" t="str">
        <x:v>Payroll statutory payable</x:v>
      </x:c>
    </x:row>
    <x:row r="22">
      <x:c r="A22" t="str">
        <x:v>JV008</x:v>
      </x:c>
      <x:c r="B22" s="32" t="n">
        <x:v>45688</x:v>
      </x:c>
      <x:c r="C22" t="str">
        <x:v>Split</x:v>
      </x:c>
      <x:c r="D22" t="str">
        <x:v>PAY-JAN25</x:v>
      </x:c>
      <x:c r="E22" t="str">
        <x:v>2020</x:v>
      </x:c>
      <x:c r="F22" t="str">
        <x:v>SOCSO/EIS Payable</x:v>
      </x:c>
      <x:c r="G22" s="36"/>
      <x:c r="H22" s="36" t="n">
        <x:v>450</x:v>
      </x:c>
      <x:c r="I22" t="str">
        <x:v>Payroll statutory payable</x:v>
      </x:c>
    </x:row>
    <x:row r="23">
      <x:c r="A23" t="str">
        <x:v>JV008</x:v>
      </x:c>
      <x:c r="B23" s="32" t="n">
        <x:v>45688</x:v>
      </x:c>
      <x:c r="C23" t="str">
        <x:v>Split</x:v>
      </x:c>
      <x:c r="D23" t="str">
        <x:v>PAY-JAN25</x:v>
      </x:c>
      <x:c r="E23" t="str">
        <x:v>2030</x:v>
      </x:c>
      <x:c r="F23" t="str">
        <x:v>PCB Payable</x:v>
      </x:c>
      <x:c r="G23" s="36"/>
      <x:c r="H23" s="36" t="n">
        <x:v>600</x:v>
      </x:c>
      <x:c r="I23" t="str">
        <x:v>Payroll statutory payable</x:v>
      </x:c>
    </x:row>
    <x:row r="24">
      <x:c r="A24" t="str">
        <x:v>JV008</x:v>
      </x:c>
      <x:c r="B24" s="32" t="n">
        <x:v>45688</x:v>
      </x:c>
      <x:c r="C24" t="str">
        <x:v>Split</x:v>
      </x:c>
      <x:c r="D24" t="str">
        <x:v>PAY-JAN25</x:v>
      </x:c>
      <x:c r="E24" t="str">
        <x:v>2040</x:v>
      </x:c>
      <x:c r="F24" t="str">
        <x:v>Payroll Payable</x:v>
      </x:c>
      <x:c r="G24" s="36"/>
      <x:c r="H24" s="36" t="n">
        <x:v>14610</x:v>
      </x:c>
      <x:c r="I24" t="str">
        <x:v>Net salary payable</x:v>
      </x:c>
    </x:row>
    <x:row r="25">
      <x:c r="A25" t="str">
        <x:v>JV009</x:v>
      </x:c>
      <x:c r="B25" s="32" t="n">
        <x:v>45679</x:v>
      </x:c>
      <x:c r="C25" t="str">
        <x:v>Reclass</x:v>
      </x:c>
      <x:c r="D25" t="str">
        <x:v>FA-AC-003</x:v>
      </x:c>
      <x:c r="E25" t="str">
        <x:v>1530</x:v>
      </x:c>
      <x:c r="F25" t="str">
        <x:v>Plant and Equipment</x:v>
      </x:c>
      <x:c r="G25" s="36" t="n">
        <x:v>9500</x:v>
      </x:c>
      <x:c r="H25" s="36"/>
      <x:c r="I25" t="str">
        <x:v>Capitalise asset purchase</x:v>
      </x:c>
    </x:row>
    <x:row r="26">
      <x:c r="A26" t="str">
        <x:v>JV009</x:v>
      </x:c>
      <x:c r="B26" s="32" t="n">
        <x:v>45679</x:v>
      </x:c>
      <x:c r="C26" t="str">
        <x:v>Reclass</x:v>
      </x:c>
      <x:c r="D26" t="str">
        <x:v>FA-AC-003</x:v>
      </x:c>
      <x:c r="E26" t="str">
        <x:v>1000</x:v>
      </x:c>
      <x:c r="F26" t="str">
        <x:v>Bank</x:v>
      </x:c>
      <x:c r="G26" s="36"/>
      <x:c r="H26" s="36" t="n">
        <x:v>9500</x:v>
      </x:c>
      <x:c r="I26" t="str">
        <x:v>Payment for asset purchase</x:v>
      </x:c>
    </x:row>
    <x:row r="27">
      <x:c r="A27" t="str">
        <x:v>JV010</x:v>
      </x:c>
      <x:c r="B27" s="32" t="n">
        <x:v>45682</x:v>
      </x:c>
      <x:c r="C27" t="str">
        <x:v>Reclass</x:v>
      </x:c>
      <x:c r="D27" t="str">
        <x:v>DIR-TRF-001</x:v>
      </x:c>
      <x:c r="E27" t="str">
        <x:v>1000</x:v>
      </x:c>
      <x:c r="F27" t="str">
        <x:v>Bank</x:v>
      </x:c>
      <x:c r="G27" s="36" t="n">
        <x:v>3000</x:v>
      </x:c>
      <x:c r="H27" s="36"/>
      <x:c r="I27" t="str">
        <x:v>Director funds injected</x:v>
      </x:c>
    </x:row>
    <x:row r="28">
      <x:c r="A28" t="str">
        <x:v>JV010</x:v>
      </x:c>
      <x:c r="B28" s="32" t="n">
        <x:v>45682</x:v>
      </x:c>
      <x:c r="C28" t="str">
        <x:v>Reclass</x:v>
      </x:c>
      <x:c r="D28" t="str">
        <x:v>DIR-TRF-001</x:v>
      </x:c>
      <x:c r="E28" t="str">
        <x:v>2800</x:v>
      </x:c>
      <x:c r="F28" t="str">
        <x:v>Director Loan</x:v>
      </x:c>
      <x:c r="G28" s="36"/>
      <x:c r="H28" s="36" t="n">
        <x:v>3000</x:v>
      </x:c>
      <x:c r="I28" t="str">
        <x:v>Director loan recognised</x:v>
      </x:c>
    </x:row>
    <x:row r="29">
      <x:c r="A29" t="str">
        <x:v>JV011</x:v>
      </x:c>
      <x:c r="B29" s="32" t="n">
        <x:v>45666</x:v>
      </x:c>
      <x:c r="C29" t="str">
        <x:v>Bank+</x:v>
      </x:c>
      <x:c r="D29" t="str">
        <x:v>BR-001</x:v>
      </x:c>
      <x:c r="E29" t="str">
        <x:v>1000</x:v>
      </x:c>
      <x:c r="F29" t="str">
        <x:v>Bank</x:v>
      </x:c>
      <x:c r="G29" s="36" t="n">
        <x:v>8000</x:v>
      </x:c>
      <x:c r="H29" s="36"/>
      <x:c r="I29" t="str">
        <x:v>Receipt clears AR - INV-2025-002</x:v>
      </x:c>
    </x:row>
    <x:row r="30">
      <x:c r="A30" t="str">
        <x:v>JV011</x:v>
      </x:c>
      <x:c r="B30" s="32" t="n">
        <x:v>45666</x:v>
      </x:c>
      <x:c r="C30" t="str">
        <x:v>Bank+</x:v>
      </x:c>
      <x:c r="D30" t="str">
        <x:v>BR-001</x:v>
      </x:c>
      <x:c r="E30" t="str">
        <x:v>1100</x:v>
      </x:c>
      <x:c r="F30" t="str">
        <x:v>Trade Receivables</x:v>
      </x:c>
      <x:c r="G30" s="36"/>
      <x:c r="H30" s="36" t="n">
        <x:v>8000</x:v>
      </x:c>
      <x:c r="I30" t="str">
        <x:v>Receipt clears AR - INV-2025-002</x:v>
      </x:c>
    </x:row>
    <x:row r="31">
      <x:c r="A31" t="str">
        <x:v>JV012</x:v>
      </x:c>
      <x:c r="B31" s="32" t="n">
        <x:v>45677</x:v>
      </x:c>
      <x:c r="C31" t="str">
        <x:v>Bank+</x:v>
      </x:c>
      <x:c r="D31" t="str">
        <x:v>BR-002</x:v>
      </x:c>
      <x:c r="E31" t="str">
        <x:v>1000</x:v>
      </x:c>
      <x:c r="F31" t="str">
        <x:v>Bank</x:v>
      </x:c>
      <x:c r="G31" s="36" t="n">
        <x:v>10000</x:v>
      </x:c>
      <x:c r="H31" s="36"/>
      <x:c r="I31" t="str">
        <x:v>Partial receipt clears AR - INV-2025-003</x:v>
      </x:c>
    </x:row>
    <x:row r="32">
      <x:c r="A32" t="str">
        <x:v>JV012</x:v>
      </x:c>
      <x:c r="B32" s="32" t="n">
        <x:v>45677</x:v>
      </x:c>
      <x:c r="C32" t="str">
        <x:v>Bank+</x:v>
      </x:c>
      <x:c r="D32" t="str">
        <x:v>BR-002</x:v>
      </x:c>
      <x:c r="E32" t="str">
        <x:v>1100</x:v>
      </x:c>
      <x:c r="F32" t="str">
        <x:v>Trade Receivables</x:v>
      </x:c>
      <x:c r="G32" s="36"/>
      <x:c r="H32" s="36" t="n">
        <x:v>10000</x:v>
      </x:c>
      <x:c r="I32" t="str">
        <x:v>Partial receipt clears AR - INV-2025-003</x:v>
      </x:c>
    </x:row>
    <x:row r="33">
      <x:c r="A33" t="str">
        <x:v>JV013</x:v>
      </x:c>
      <x:c r="B33" s="32" t="n">
        <x:v>45668</x:v>
      </x:c>
      <x:c r="C33" t="str">
        <x:v>Bank+</x:v>
      </x:c>
      <x:c r="D33" t="str">
        <x:v>BP-001</x:v>
      </x:c>
      <x:c r="E33" t="str">
        <x:v>2000</x:v>
      </x:c>
      <x:c r="F33" t="str">
        <x:v>Trade Payables</x:v>
      </x:c>
      <x:c r="G33" s="36" t="n">
        <x:v>3200</x:v>
      </x:c>
      <x:c r="H33" s="36"/>
      <x:c r="I33" t="str">
        <x:v>Payment clears AP - INV-BF-881</x:v>
      </x:c>
    </x:row>
    <x:row r="34">
      <x:c r="A34" t="str">
        <x:v>JV013</x:v>
      </x:c>
      <x:c r="B34" s="32" t="n">
        <x:v>45668</x:v>
      </x:c>
      <x:c r="C34" t="str">
        <x:v>Bank+</x:v>
      </x:c>
      <x:c r="D34" t="str">
        <x:v>BP-001</x:v>
      </x:c>
      <x:c r="E34" t="str">
        <x:v>1000</x:v>
      </x:c>
      <x:c r="F34" t="str">
        <x:v>Bank</x:v>
      </x:c>
      <x:c r="G34" s="36"/>
      <x:c r="H34" s="36" t="n">
        <x:v>3200</x:v>
      </x:c>
      <x:c r="I34" t="str">
        <x:v>Payment clears AP - INV-BF-881</x:v>
      </x:c>
    </x:row>
    <x:row r="35">
      <x:c r="A35" t="str">
        <x:v>JV014</x:v>
      </x:c>
      <x:c r="B35" s="32" t="n">
        <x:v>45672</x:v>
      </x:c>
      <x:c r="C35" t="str">
        <x:v>Bank+</x:v>
      </x:c>
      <x:c r="D35" t="str">
        <x:v>BP-002</x:v>
      </x:c>
      <x:c r="E35" t="str">
        <x:v>2000</x:v>
      </x:c>
      <x:c r="F35" t="str">
        <x:v>Trade Payables</x:v>
      </x:c>
      <x:c r="G35" s="36" t="n">
        <x:v>4800</x:v>
      </x:c>
      <x:c r="H35" s="36"/>
      <x:c r="I35" t="str">
        <x:v>Payment clears AP - INV-LG-101</x:v>
      </x:c>
    </x:row>
    <x:row r="36">
      <x:c r="A36" t="str">
        <x:v>JV014</x:v>
      </x:c>
      <x:c r="B36" s="32" t="n">
        <x:v>45672</x:v>
      </x:c>
      <x:c r="C36" t="str">
        <x:v>Bank+</x:v>
      </x:c>
      <x:c r="D36" t="str">
        <x:v>BP-002</x:v>
      </x:c>
      <x:c r="E36" t="str">
        <x:v>1000</x:v>
      </x:c>
      <x:c r="F36" t="str">
        <x:v>Bank</x:v>
      </x:c>
      <x:c r="G36" s="36"/>
      <x:c r="H36" s="36" t="n">
        <x:v>4800</x:v>
      </x:c>
      <x:c r="I36" t="str">
        <x:v>Payment clears AP - INV-LG-101</x:v>
      </x:c>
    </x:row>
    <x:row r="37">
      <x:c r="A37" t="str">
        <x:v>JV015</x:v>
      </x:c>
      <x:c r="B37" s="32" t="n">
        <x:v>45688</x:v>
      </x:c>
      <x:c r="C37" t="str">
        <x:v>Bank+</x:v>
      </x:c>
      <x:c r="D37" t="str">
        <x:v>BP-003</x:v>
      </x:c>
      <x:c r="E37" t="str">
        <x:v>2040</x:v>
      </x:c>
      <x:c r="F37" t="str">
        <x:v>Payroll Payable</x:v>
      </x:c>
      <x:c r="G37" s="36" t="n">
        <x:v>14610</x:v>
      </x:c>
      <x:c r="H37" s="36"/>
      <x:c r="I37" t="str">
        <x:v>Net salary paid</x:v>
      </x:c>
    </x:row>
    <x:row r="38">
      <x:c r="A38" t="str">
        <x:v>JV015</x:v>
      </x:c>
      <x:c r="B38" s="32" t="n">
        <x:v>45688</x:v>
      </x:c>
      <x:c r="C38" t="str">
        <x:v>Bank+</x:v>
      </x:c>
      <x:c r="D38" t="str">
        <x:v>BP-003</x:v>
      </x:c>
      <x:c r="E38" t="str">
        <x:v>1000</x:v>
      </x:c>
      <x:c r="F38" t="str">
        <x:v>Bank</x:v>
      </x:c>
      <x:c r="G38" s="36"/>
      <x:c r="H38" s="36" t="n">
        <x:v>14610</x:v>
      </x:c>
      <x:c r="I38" t="str">
        <x:v>Net salary paid</x:v>
      </x:c>
    </x:row>
    <x:row r="39">
      <x:c r="A39" t="str">
        <x:v>JV016</x:v>
      </x:c>
      <x:c r="B39" s="32" t="n">
        <x:v>45688</x:v>
      </x:c>
      <x:c r="C39" t="str">
        <x:v>Bank+</x:v>
      </x:c>
      <x:c r="D39" t="str">
        <x:v>BC-001</x:v>
      </x:c>
      <x:c r="E39" t="str">
        <x:v>6600</x:v>
      </x:c>
      <x:c r="F39" t="str">
        <x:v>Bank Charges</x:v>
      </x:c>
      <x:c r="G39" s="36" t="n">
        <x:v>25</x:v>
      </x:c>
      <x:c r="H39" s="36"/>
      <x:c r="I39" t="str">
        <x:v>Bank charges from statement</x:v>
      </x:c>
    </x:row>
    <x:row r="40">
      <x:c r="A40" t="str">
        <x:v>JV016</x:v>
      </x:c>
      <x:c r="B40" s="32" t="n">
        <x:v>45688</x:v>
      </x:c>
      <x:c r="C40" t="str">
        <x:v>Bank+</x:v>
      </x:c>
      <x:c r="D40" t="str">
        <x:v>BC-001</x:v>
      </x:c>
      <x:c r="E40" t="str">
        <x:v>1000</x:v>
      </x:c>
      <x:c r="F40" t="str">
        <x:v>Bank</x:v>
      </x:c>
      <x:c r="G40" s="36"/>
      <x:c r="H40" s="36" t="n">
        <x:v>25</x:v>
      </x:c>
      <x:c r="I40" t="str">
        <x:v>Bank charges from statement</x:v>
      </x:c>
    </x:row>
    <x:row r="41">
      <x:c r="A41" t="str">
        <x:v>JV017</x:v>
      </x:c>
      <x:c r="B41" s="32" t="n">
        <x:v>45688</x:v>
      </x:c>
      <x:c r="C41" t="str">
        <x:v>Adjusting</x:v>
      </x:c>
      <x:c r="D41" t="str">
        <x:v>A001</x:v>
      </x:c>
      <x:c r="E41" t="str">
        <x:v>6500</x:v>
      </x:c>
      <x:c r="F41" t="str">
        <x:v>Depreciation Expense</x:v>
      </x:c>
      <x:c r="G41" s="36" t="n">
        <x:v>316.67</x:v>
      </x:c>
      <x:c r="H41" s="36"/>
      <x:c r="I41" t="str">
        <x:v>Monthly depreciation</x:v>
      </x:c>
    </x:row>
    <x:row r="42">
      <x:c r="A42" t="str">
        <x:v>JV017</x:v>
      </x:c>
      <x:c r="B42" s="32" t="n">
        <x:v>45688</x:v>
      </x:c>
      <x:c r="C42" t="str">
        <x:v>Adjusting</x:v>
      </x:c>
      <x:c r="D42" t="str">
        <x:v>A001</x:v>
      </x:c>
      <x:c r="E42" t="str">
        <x:v>1590</x:v>
      </x:c>
      <x:c r="F42" t="str">
        <x:v>Accumulated Depreciation</x:v>
      </x:c>
      <x:c r="G42" s="36"/>
      <x:c r="H42" s="36" t="n">
        <x:v>316.67</x:v>
      </x:c>
      <x:c r="I42" t="str">
        <x:v>Monthly depreciation</x:v>
      </x:c>
    </x:row>
    <x:row r="43">
      <x:c r="A43" t="str">
        <x:v>JV018</x:v>
      </x:c>
      <x:c r="B43" s="32" t="n">
        <x:v>45688</x:v>
      </x:c>
      <x:c r="C43" t="str">
        <x:v>Adjusting</x:v>
      </x:c>
      <x:c r="D43" t="str">
        <x:v>A002</x:v>
      </x:c>
      <x:c r="E43" t="str">
        <x:v>6120</x:v>
      </x:c>
      <x:c r="F43" t="str">
        <x:v>Utilities Expense</x:v>
      </x:c>
      <x:c r="G43" s="36" t="n">
        <x:v>420</x:v>
      </x:c>
      <x:c r="H43" s="36"/>
      <x:c r="I43" t="str">
        <x:v>Accrue utilities</x:v>
      </x:c>
    </x:row>
    <x:row r="44">
      <x:c r="A44" t="str">
        <x:v>JV018</x:v>
      </x:c>
      <x:c r="B44" s="32" t="n">
        <x:v>45688</x:v>
      </x:c>
      <x:c r="C44" t="str">
        <x:v>Adjusting</x:v>
      </x:c>
      <x:c r="D44" t="str">
        <x:v>A002</x:v>
      </x:c>
      <x:c r="E44" t="str">
        <x:v>2050</x:v>
      </x:c>
      <x:c r="F44" t="str">
        <x:v>Accrued Expenses</x:v>
      </x:c>
      <x:c r="G44" s="36"/>
      <x:c r="H44" s="36" t="n">
        <x:v>420</x:v>
      </x:c>
      <x:c r="I44" t="str">
        <x:v>Accrue utilities</x:v>
      </x:c>
    </x:row>
    <x:row r="46">
      <x:c r="F46" s="80" t="str">
        <x:v>TOTAL</x:v>
      </x:c>
      <x:c r="G46" s="84" t="n">
        <x:f>SUM(G5:G44)</x:f>
        <x:v>127481.67</x:v>
      </x:c>
      <x:c r="H46" s="84" t="n">
        <x:f>SUM(H5:H44)</x:f>
        <x:v>127481.67</x:v>
      </x:c>
      <x:c r="I46" s="80" t="str">
        <x:f>IF(ROUND(G46-H46,2)=0,"Balanced","Check")</x:f>
        <x:v>Balanced</x:v>
      </x:c>
    </x:row>
  </x:sheetData>
  <x:mergeCells>
    <x:mergeCell ref="A1:I1"/>
  </x:mergeCells>
  <x:conditionalFormatting sqref="C5:C44">
    <x:cfRule type="expression" dxfId="8" priority="1">
      <x:formula>$C5="Bank+"</x:formula>
    </x:cfRule>
    <x:cfRule type="expression" dxfId="9" priority="2">
      <x:formula>$C5="Split"</x:formula>
    </x:cfRule>
    <x:cfRule type="expression" dxfId="10" priority="3">
      <x:formula>$C5="Reclass"</x:formula>
    </x:cfRule>
    <x:cfRule type="expression" dxfId="11" priority="4">
      <x:formula>$C5="Adjusting"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bfdc430fb2446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2" hidden="0" customWidth="1"/>
  </x:cols>
  <x:sheetData>
    <x:row r="1" ht="28" customHeight="1">
      <x:c r="A1" s="100" t="str">
        <x:v>Trial Balance — Generated from Journal Voucher</x:v>
      </x:c>
      <x:c r="B1" s="100"/>
      <x:c r="C1" s="100"/>
      <x:c r="D1" s="100"/>
      <x:c r="E1" s="100"/>
      <x:c r="F1" s="100"/>
      <x:c r="G1" s="100"/>
      <x:c r="H1" s="100"/>
      <x:c r="I1" s="101"/>
      <x:c r="J1" s="101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AR and AP control accounts should tie to the AR/AP listings.</x:v>
      </x:c>
      <x:c r="B2" t="str"/>
      <x:c r="C2" t="str"/>
      <x:c r="D2" t="str"/>
      <x:c r="E2" t="str"/>
      <x:c r="F2" t="str"/>
      <x:c r="G2" t="str"/>
      <x:c r="H2" t="str"/>
    </x:row>
    <x:row r="4" ht="24" customHeight="1">
      <x:c r="A4" s="26" t="str">
        <x:v>Account Code</x:v>
      </x:c>
      <x:c r="B4" s="26" t="str">
        <x:v>Account Name</x:v>
      </x:c>
      <x:c r="C4" s="26" t="str">
        <x:v>Opening Dr/(Cr)</x:v>
      </x:c>
      <x:c r="D4" s="26" t="str">
        <x:v>Current Debit</x:v>
      </x:c>
      <x:c r="E4" s="26" t="str">
        <x:v>Current Credit</x:v>
      </x:c>
      <x:c r="F4" s="26" t="str">
        <x:v>Closing Debit</x:v>
      </x:c>
      <x:c r="G4" s="26" t="str">
        <x:v>Closing Credit</x:v>
      </x:c>
      <x:c r="H4" s="26" t="str">
        <x:v>Check / Note</x:v>
      </x:c>
    </x:row>
    <x:row r="5">
      <x:c r="A5" s="20" t="str">
        <x:v>1000</x:v>
      </x:c>
      <x:c r="B5" s="20" t="str">
        <x:v>Bank</x:v>
      </x:c>
      <x:c r="C5" s="86" t="n">
        <x:v>0</x:v>
      </x:c>
      <x:c r="D5" s="86" t="n">
        <x:f>SUMIFS('08_Journal_Voucher'!$G$5:$G$44,'08_Journal_Voucher'!$E$5:$E$44,A5)</x:f>
        <x:v>21000</x:v>
      </x:c>
      <x:c r="E5" s="86" t="n">
        <x:f>SUMIFS('08_Journal_Voucher'!$H$5:$H$44,'08_Journal_Voucher'!$E$5:$E$44,A5)</x:f>
        <x:v>44135</x:v>
      </x:c>
      <x:c r="F5" s="86" t="n">
        <x:f>MAX(C5+D5-E5,0)</x:f>
        <x:v>0</x:v>
      </x:c>
      <x:c r="G5" s="86" t="n">
        <x:f>MAX(E5-C5-D5,0)</x:f>
        <x:v>23135</x:v>
      </x:c>
      <x:c r="H5" s="20" t="str"/>
    </x:row>
    <x:row r="6">
      <x:c r="A6" s="20" t="str">
        <x:v>1100</x:v>
      </x:c>
      <x:c r="B6" s="20" t="str">
        <x:v>Trade Receivables</x:v>
      </x:c>
      <x:c r="C6" s="86" t="n">
        <x:v>0</x:v>
      </x:c>
      <x:c r="D6" s="86" t="n">
        <x:f>SUMIFS('08_Journal_Voucher'!$G$5:$G$44,'08_Journal_Voucher'!$E$5:$E$44,A6)</x:f>
        <x:v>34660</x:v>
      </x:c>
      <x:c r="E6" s="86" t="n">
        <x:f>SUMIFS('08_Journal_Voucher'!$H$5:$H$44,'08_Journal_Voucher'!$E$5:$E$44,A6)</x:f>
        <x:v>18000</x:v>
      </x:c>
      <x:c r="F6" s="86" t="n">
        <x:f>MAX(C6+D6-E6,0)</x:f>
        <x:v>16660</x:v>
      </x:c>
      <x:c r="G6" s="86" t="n">
        <x:f>MAX(E6-C6-D6,0)</x:f>
        <x:v>0</x:v>
      </x:c>
      <x:c r="H6" s="20" t="str">
        <x:f>IF(ROUND(F6-'04_AR_Listing'!$H$9,2)=0,"AR listing ties","Check AR listing")</x:f>
        <x:v>AR listing ties</x:v>
      </x:c>
    </x:row>
    <x:row r="7">
      <x:c r="A7" s="20" t="str">
        <x:v>1120</x:v>
      </x:c>
      <x:c r="B7" s="20" t="str">
        <x:v>Prepaid Expenses</x:v>
      </x:c>
      <x:c r="C7" s="86" t="n">
        <x:v>0</x:v>
      </x:c>
      <x:c r="D7" s="86" t="n">
        <x:f>SUMIFS('08_Journal_Voucher'!$G$5:$G$44,'08_Journal_Voucher'!$E$5:$E$44,A7)</x:f>
        <x:v>11000</x:v>
      </x:c>
      <x:c r="E7" s="86" t="n">
        <x:f>SUMIFS('08_Journal_Voucher'!$H$5:$H$44,'08_Journal_Voucher'!$E$5:$E$44,A7)</x:f>
        <x:v>0</x:v>
      </x:c>
      <x:c r="F7" s="86" t="n">
        <x:f>MAX(C7+D7-E7,0)</x:f>
        <x:v>11000</x:v>
      </x:c>
      <x:c r="G7" s="86" t="n">
        <x:f>MAX(E7-C7-D7,0)</x:f>
        <x:v>0</x:v>
      </x:c>
      <x:c r="H7" s="20" t="str"/>
    </x:row>
    <x:row r="8">
      <x:c r="A8" s="20" t="str">
        <x:v>1530</x:v>
      </x:c>
      <x:c r="B8" s="20" t="str">
        <x:v>Plant and Equipment</x:v>
      </x:c>
      <x:c r="C8" s="86" t="n">
        <x:v>0</x:v>
      </x:c>
      <x:c r="D8" s="86" t="n">
        <x:f>SUMIFS('08_Journal_Voucher'!$G$5:$G$44,'08_Journal_Voucher'!$E$5:$E$44,A8)</x:f>
        <x:v>9500</x:v>
      </x:c>
      <x:c r="E8" s="86" t="n">
        <x:f>SUMIFS('08_Journal_Voucher'!$H$5:$H$44,'08_Journal_Voucher'!$E$5:$E$44,A8)</x:f>
        <x:v>0</x:v>
      </x:c>
      <x:c r="F8" s="86" t="n">
        <x:f>MAX(C8+D8-E8,0)</x:f>
        <x:v>9500</x:v>
      </x:c>
      <x:c r="G8" s="86" t="n">
        <x:f>MAX(E8-C8-D8,0)</x:f>
        <x:v>0</x:v>
      </x:c>
      <x:c r="H8" s="20" t="str"/>
    </x:row>
    <x:row r="9">
      <x:c r="A9" s="20" t="str">
        <x:v>1590</x:v>
      </x:c>
      <x:c r="B9" s="20" t="str">
        <x:v>Accumulated Depreciation</x:v>
      </x:c>
      <x:c r="C9" s="86" t="n">
        <x:v>0</x:v>
      </x:c>
      <x:c r="D9" s="86" t="n">
        <x:f>SUMIFS('08_Journal_Voucher'!$G$5:$G$44,'08_Journal_Voucher'!$E$5:$E$44,A9)</x:f>
        <x:v>0</x:v>
      </x:c>
      <x:c r="E9" s="86" t="n">
        <x:f>SUMIFS('08_Journal_Voucher'!$H$5:$H$44,'08_Journal_Voucher'!$E$5:$E$44,A9)</x:f>
        <x:v>316.67</x:v>
      </x:c>
      <x:c r="F9" s="86" t="n">
        <x:f>MAX(C9+D9-E9,0)</x:f>
        <x:v>0</x:v>
      </x:c>
      <x:c r="G9" s="86" t="n">
        <x:f>MAX(E9-C9-D9,0)</x:f>
        <x:v>316.67</x:v>
      </x:c>
      <x:c r="H9" s="20" t="str"/>
    </x:row>
    <x:row r="10">
      <x:c r="A10" s="20" t="str">
        <x:v>2000</x:v>
      </x:c>
      <x:c r="B10" s="20" t="str">
        <x:v>Trade Payables</x:v>
      </x:c>
      <x:c r="C10" s="86" t="n">
        <x:v>0</x:v>
      </x:c>
      <x:c r="D10" s="86" t="n">
        <x:f>SUMIFS('08_Journal_Voucher'!$G$5:$G$44,'08_Journal_Voucher'!$E$5:$E$44,A10)</x:f>
        <x:v>8000</x:v>
      </x:c>
      <x:c r="E10" s="86" t="n">
        <x:f>SUMIFS('08_Journal_Voucher'!$H$5:$H$44,'08_Journal_Voucher'!$E$5:$E$44,A10)</x:f>
        <x:v>8950</x:v>
      </x:c>
      <x:c r="F10" s="86" t="n">
        <x:f>MAX(C10+D10-E10,0)</x:f>
        <x:v>0</x:v>
      </x:c>
      <x:c r="G10" s="86" t="n">
        <x:f>MAX(E10-C10-D10,0)</x:f>
        <x:v>950</x:v>
      </x:c>
      <x:c r="H10" s="20" t="str">
        <x:f>IF(ROUND(G10-'05_AP_Listing'!$H$9,2)=0,"AP listing ties","Check AP listing")</x:f>
        <x:v>AP listing ties</x:v>
      </x:c>
    </x:row>
    <x:row r="11">
      <x:c r="A11" s="20" t="str">
        <x:v>2010</x:v>
      </x:c>
      <x:c r="B11" s="20" t="str">
        <x:v>EPF Payable</x:v>
      </x:c>
      <x:c r="C11" s="86" t="n">
        <x:v>0</x:v>
      </x:c>
      <x:c r="D11" s="86" t="n">
        <x:f>SUMIFS('08_Journal_Voucher'!$G$5:$G$44,'08_Journal_Voucher'!$E$5:$E$44,A11)</x:f>
        <x:v>0</x:v>
      </x:c>
      <x:c r="E11" s="86" t="n">
        <x:f>SUMIFS('08_Journal_Voucher'!$H$5:$H$44,'08_Journal_Voucher'!$E$5:$E$44,A11)</x:f>
        <x:v>2340</x:v>
      </x:c>
      <x:c r="F11" s="86" t="n">
        <x:f>MAX(C11+D11-E11,0)</x:f>
        <x:v>0</x:v>
      </x:c>
      <x:c r="G11" s="86" t="n">
        <x:f>MAX(E11-C11-D11,0)</x:f>
        <x:v>2340</x:v>
      </x:c>
      <x:c r="H11" s="20" t="str"/>
    </x:row>
    <x:row r="12">
      <x:c r="A12" s="20" t="str">
        <x:v>2020</x:v>
      </x:c>
      <x:c r="B12" s="20" t="str">
        <x:v>SOCSO/EIS Payable</x:v>
      </x:c>
      <x:c r="C12" s="86" t="n">
        <x:v>0</x:v>
      </x:c>
      <x:c r="D12" s="86" t="n">
        <x:f>SUMIFS('08_Journal_Voucher'!$G$5:$G$44,'08_Journal_Voucher'!$E$5:$E$44,A12)</x:f>
        <x:v>0</x:v>
      </x:c>
      <x:c r="E12" s="86" t="n">
        <x:f>SUMIFS('08_Journal_Voucher'!$H$5:$H$44,'08_Journal_Voucher'!$E$5:$E$44,A12)</x:f>
        <x:v>450</x:v>
      </x:c>
      <x:c r="F12" s="86" t="n">
        <x:f>MAX(C12+D12-E12,0)</x:f>
        <x:v>0</x:v>
      </x:c>
      <x:c r="G12" s="86" t="n">
        <x:f>MAX(E12-C12-D12,0)</x:f>
        <x:v>450</x:v>
      </x:c>
      <x:c r="H12" s="20" t="str"/>
    </x:row>
    <x:row r="13">
      <x:c r="A13" s="20" t="str">
        <x:v>2030</x:v>
      </x:c>
      <x:c r="B13" s="20" t="str">
        <x:v>PCB Payable</x:v>
      </x:c>
      <x:c r="C13" s="86" t="n">
        <x:v>0</x:v>
      </x:c>
      <x:c r="D13" s="86" t="n">
        <x:f>SUMIFS('08_Journal_Voucher'!$G$5:$G$44,'08_Journal_Voucher'!$E$5:$E$44,A13)</x:f>
        <x:v>0</x:v>
      </x:c>
      <x:c r="E13" s="86" t="n">
        <x:f>SUMIFS('08_Journal_Voucher'!$H$5:$H$44,'08_Journal_Voucher'!$E$5:$E$44,A13)</x:f>
        <x:v>600</x:v>
      </x:c>
      <x:c r="F13" s="86" t="n">
        <x:f>MAX(C13+D13-E13,0)</x:f>
        <x:v>0</x:v>
      </x:c>
      <x:c r="G13" s="86" t="n">
        <x:f>MAX(E13-C13-D13,0)</x:f>
        <x:v>600</x:v>
      </x:c>
      <x:c r="H13" s="20" t="str"/>
    </x:row>
    <x:row r="14">
      <x:c r="A14" s="20" t="str">
        <x:v>2040</x:v>
      </x:c>
      <x:c r="B14" s="20" t="str">
        <x:v>Payroll Payable</x:v>
      </x:c>
      <x:c r="C14" s="86" t="n">
        <x:v>0</x:v>
      </x:c>
      <x:c r="D14" s="86" t="n">
        <x:f>SUMIFS('08_Journal_Voucher'!$G$5:$G$44,'08_Journal_Voucher'!$E$5:$E$44,A14)</x:f>
        <x:v>14610</x:v>
      </x:c>
      <x:c r="E14" s="86" t="n">
        <x:f>SUMIFS('08_Journal_Voucher'!$H$5:$H$44,'08_Journal_Voucher'!$E$5:$E$44,A14)</x:f>
        <x:v>14610</x:v>
      </x:c>
      <x:c r="F14" s="86" t="n">
        <x:f>MAX(C14+D14-E14,0)</x:f>
        <x:v>0</x:v>
      </x:c>
      <x:c r="G14" s="86" t="n">
        <x:f>MAX(E14-C14-D14,0)</x:f>
        <x:v>0</x:v>
      </x:c>
      <x:c r="H14" s="20" t="str"/>
    </x:row>
    <x:row r="15">
      <x:c r="A15" s="20" t="str">
        <x:v>2050</x:v>
      </x:c>
      <x:c r="B15" s="20" t="str">
        <x:v>Accrued Expenses</x:v>
      </x:c>
      <x:c r="C15" s="86" t="n">
        <x:v>0</x:v>
      </x:c>
      <x:c r="D15" s="86" t="n">
        <x:f>SUMIFS('08_Journal_Voucher'!$G$5:$G$44,'08_Journal_Voucher'!$E$5:$E$44,A15)</x:f>
        <x:v>0</x:v>
      </x:c>
      <x:c r="E15" s="86" t="n">
        <x:f>SUMIFS('08_Journal_Voucher'!$H$5:$H$44,'08_Journal_Voucher'!$E$5:$E$44,A15)</x:f>
        <x:v>420</x:v>
      </x:c>
      <x:c r="F15" s="86" t="n">
        <x:f>MAX(C15+D15-E15,0)</x:f>
        <x:v>0</x:v>
      </x:c>
      <x:c r="G15" s="86" t="n">
        <x:f>MAX(E15-C15-D15,0)</x:f>
        <x:v>420</x:v>
      </x:c>
      <x:c r="H15" s="20" t="str"/>
    </x:row>
    <x:row r="16">
      <x:c r="A16" s="20" t="str">
        <x:v>2800</x:v>
      </x:c>
      <x:c r="B16" s="20" t="str">
        <x:v>Director Loan</x:v>
      </x:c>
      <x:c r="C16" s="86" t="n">
        <x:v>0</x:v>
      </x:c>
      <x:c r="D16" s="86" t="n">
        <x:f>SUMIFS('08_Journal_Voucher'!$G$5:$G$44,'08_Journal_Voucher'!$E$5:$E$44,A16)</x:f>
        <x:v>0</x:v>
      </x:c>
      <x:c r="E16" s="86" t="n">
        <x:f>SUMIFS('08_Journal_Voucher'!$H$5:$H$44,'08_Journal_Voucher'!$E$5:$E$44,A16)</x:f>
        <x:v>3000</x:v>
      </x:c>
      <x:c r="F16" s="86" t="n">
        <x:f>MAX(C16+D16-E16,0)</x:f>
        <x:v>0</x:v>
      </x:c>
      <x:c r="G16" s="86" t="n">
        <x:f>MAX(E16-C16-D16,0)</x:f>
        <x:v>3000</x:v>
      </x:c>
      <x:c r="H16" s="20" t="str"/>
    </x:row>
    <x:row r="17">
      <x:c r="A17" s="20" t="str">
        <x:v>4100</x:v>
      </x:c>
      <x:c r="B17" s="20" t="str">
        <x:v>Sales Revenue</x:v>
      </x:c>
      <x:c r="C17" s="86" t="n">
        <x:v>0</x:v>
      </x:c>
      <x:c r="D17" s="86" t="n">
        <x:f>SUMIFS('08_Journal_Voucher'!$G$5:$G$44,'08_Journal_Voucher'!$E$5:$E$44,A17)</x:f>
        <x:v>0</x:v>
      </x:c>
      <x:c r="E17" s="86" t="n">
        <x:f>SUMIFS('08_Journal_Voucher'!$H$5:$H$44,'08_Journal_Voucher'!$E$5:$E$44,A17)</x:f>
        <x:v>34660</x:v>
      </x:c>
      <x:c r="F17" s="86" t="n">
        <x:f>MAX(C17+D17-E17,0)</x:f>
        <x:v>0</x:v>
      </x:c>
      <x:c r="G17" s="86" t="n">
        <x:f>MAX(E17-C17-D17,0)</x:f>
        <x:v>34660</x:v>
      </x:c>
      <x:c r="H17" s="20" t="str"/>
    </x:row>
    <x:row r="18">
      <x:c r="A18" s="20" t="str">
        <x:v>5020</x:v>
      </x:c>
      <x:c r="B18" s="20" t="str">
        <x:v>Direct Materials</x:v>
      </x:c>
      <x:c r="C18" s="86" t="n">
        <x:v>0</x:v>
      </x:c>
      <x:c r="D18" s="86" t="n">
        <x:f>SUMIFS('08_Journal_Voucher'!$G$5:$G$44,'08_Journal_Voucher'!$E$5:$E$44,A18)</x:f>
        <x:v>3200</x:v>
      </x:c>
      <x:c r="E18" s="86" t="n">
        <x:f>SUMIFS('08_Journal_Voucher'!$H$5:$H$44,'08_Journal_Voucher'!$E$5:$E$44,A18)</x:f>
        <x:v>0</x:v>
      </x:c>
      <x:c r="F18" s="86" t="n">
        <x:f>MAX(C18+D18-E18,0)</x:f>
        <x:v>3200</x:v>
      </x:c>
      <x:c r="G18" s="86" t="n">
        <x:f>MAX(E18-C18-D18,0)</x:f>
        <x:v>0</x:v>
      </x:c>
      <x:c r="H18" s="20" t="str"/>
    </x:row>
    <x:row r="19">
      <x:c r="A19" s="20" t="str">
        <x:v>6100</x:v>
      </x:c>
      <x:c r="B19" s="20" t="str">
        <x:v>Office Supplies</x:v>
      </x:c>
      <x:c r="C19" s="86" t="n">
        <x:v>0</x:v>
      </x:c>
      <x:c r="D19" s="86" t="n">
        <x:f>SUMIFS('08_Journal_Voucher'!$G$5:$G$44,'08_Journal_Voucher'!$E$5:$E$44,A19)</x:f>
        <x:v>950</x:v>
      </x:c>
      <x:c r="E19" s="86" t="n">
        <x:f>SUMIFS('08_Journal_Voucher'!$H$5:$H$44,'08_Journal_Voucher'!$E$5:$E$44,A19)</x:f>
        <x:v>0</x:v>
      </x:c>
      <x:c r="F19" s="86" t="n">
        <x:f>MAX(C19+D19-E19,0)</x:f>
        <x:v>950</x:v>
      </x:c>
      <x:c r="G19" s="86" t="n">
        <x:f>MAX(E19-C19-D19,0)</x:f>
        <x:v>0</x:v>
      </x:c>
      <x:c r="H19" s="20" t="str"/>
    </x:row>
    <x:row r="20">
      <x:c r="A20" s="20" t="str">
        <x:v>6110</x:v>
      </x:c>
      <x:c r="B20" s="20" t="str">
        <x:v>Rent Expense</x:v>
      </x:c>
      <x:c r="C20" s="86" t="n">
        <x:v>0</x:v>
      </x:c>
      <x:c r="D20" s="86" t="n">
        <x:f>SUMIFS('08_Journal_Voucher'!$G$5:$G$44,'08_Journal_Voucher'!$E$5:$E$44,A20)</x:f>
        <x:v>4800</x:v>
      </x:c>
      <x:c r="E20" s="86" t="n">
        <x:f>SUMIFS('08_Journal_Voucher'!$H$5:$H$44,'08_Journal_Voucher'!$E$5:$E$44,A20)</x:f>
        <x:v>0</x:v>
      </x:c>
      <x:c r="F20" s="86" t="n">
        <x:f>MAX(C20+D20-E20,0)</x:f>
        <x:v>4800</x:v>
      </x:c>
      <x:c r="G20" s="86" t="n">
        <x:f>MAX(E20-C20-D20,0)</x:f>
        <x:v>0</x:v>
      </x:c>
      <x:c r="H20" s="20" t="str"/>
    </x:row>
    <x:row r="21">
      <x:c r="A21" s="20" t="str">
        <x:v>6120</x:v>
      </x:c>
      <x:c r="B21" s="20" t="str">
        <x:v>Utilities Expense</x:v>
      </x:c>
      <x:c r="C21" s="86" t="n">
        <x:v>0</x:v>
      </x:c>
      <x:c r="D21" s="86" t="n">
        <x:f>SUMIFS('08_Journal_Voucher'!$G$5:$G$44,'08_Journal_Voucher'!$E$5:$E$44,A21)</x:f>
        <x:v>420</x:v>
      </x:c>
      <x:c r="E21" s="86" t="n">
        <x:f>SUMIFS('08_Journal_Voucher'!$H$5:$H$44,'08_Journal_Voucher'!$E$5:$E$44,A21)</x:f>
        <x:v>0</x:v>
      </x:c>
      <x:c r="F21" s="86" t="n">
        <x:f>MAX(C21+D21-E21,0)</x:f>
        <x:v>420</x:v>
      </x:c>
      <x:c r="G21" s="86" t="n">
        <x:f>MAX(E21-C21-D21,0)</x:f>
        <x:v>0</x:v>
      </x:c>
      <x:c r="H21" s="20" t="str"/>
    </x:row>
    <x:row r="22">
      <x:c r="A22" s="20" t="str">
        <x:v>6200</x:v>
      </x:c>
      <x:c r="B22" s="20" t="str">
        <x:v>Salaries and Wages</x:v>
      </x:c>
      <x:c r="C22" s="86" t="n">
        <x:v>0</x:v>
      </x:c>
      <x:c r="D22" s="86" t="n">
        <x:f>SUMIFS('08_Journal_Voucher'!$G$5:$G$44,'08_Journal_Voucher'!$E$5:$E$44,A22)</x:f>
        <x:v>18000</x:v>
      </x:c>
      <x:c r="E22" s="86" t="n">
        <x:f>SUMIFS('08_Journal_Voucher'!$H$5:$H$44,'08_Journal_Voucher'!$E$5:$E$44,A22)</x:f>
        <x:v>0</x:v>
      </x:c>
      <x:c r="F22" s="86" t="n">
        <x:f>MAX(C22+D22-E22,0)</x:f>
        <x:v>18000</x:v>
      </x:c>
      <x:c r="G22" s="86" t="n">
        <x:f>MAX(E22-C22-D22,0)</x:f>
        <x:v>0</x:v>
      </x:c>
      <x:c r="H22" s="20" t="str"/>
    </x:row>
    <x:row r="23">
      <x:c r="A23" s="20" t="str">
        <x:v>6380</x:v>
      </x:c>
      <x:c r="B23" s="20" t="str">
        <x:v>Insurance Expense</x:v>
      </x:c>
      <x:c r="C23" s="86" t="n">
        <x:v>0</x:v>
      </x:c>
      <x:c r="D23" s="86" t="n">
        <x:f>SUMIFS('08_Journal_Voucher'!$G$5:$G$44,'08_Journal_Voucher'!$E$5:$E$44,A23)</x:f>
        <x:v>1000</x:v>
      </x:c>
      <x:c r="E23" s="86" t="n">
        <x:f>SUMIFS('08_Journal_Voucher'!$H$5:$H$44,'08_Journal_Voucher'!$E$5:$E$44,A23)</x:f>
        <x:v>0</x:v>
      </x:c>
      <x:c r="F23" s="86" t="n">
        <x:f>MAX(C23+D23-E23,0)</x:f>
        <x:v>1000</x:v>
      </x:c>
      <x:c r="G23" s="86" t="n">
        <x:f>MAX(E23-C23-D23,0)</x:f>
        <x:v>0</x:v>
      </x:c>
      <x:c r="H23" s="20" t="str"/>
    </x:row>
    <x:row r="24">
      <x:c r="A24" s="20" t="str">
        <x:v>6500</x:v>
      </x:c>
      <x:c r="B24" s="20" t="str">
        <x:v>Depreciation Expense</x:v>
      </x:c>
      <x:c r="C24" s="86" t="n">
        <x:v>0</x:v>
      </x:c>
      <x:c r="D24" s="86" t="n">
        <x:f>SUMIFS('08_Journal_Voucher'!$G$5:$G$44,'08_Journal_Voucher'!$E$5:$E$44,A24)</x:f>
        <x:v>316.67</x:v>
      </x:c>
      <x:c r="E24" s="86" t="n">
        <x:f>SUMIFS('08_Journal_Voucher'!$H$5:$H$44,'08_Journal_Voucher'!$E$5:$E$44,A24)</x:f>
        <x:v>0</x:v>
      </x:c>
      <x:c r="F24" s="86" t="n">
        <x:f>MAX(C24+D24-E24,0)</x:f>
        <x:v>316.67</x:v>
      </x:c>
      <x:c r="G24" s="86" t="n">
        <x:f>MAX(E24-C24-D24,0)</x:f>
        <x:v>0</x:v>
      </x:c>
      <x:c r="H24" s="20" t="str"/>
    </x:row>
    <x:row r="25">
      <x:c r="A25" s="20" t="str">
        <x:v>6600</x:v>
      </x:c>
      <x:c r="B25" s="20" t="str">
        <x:v>Bank Charges</x:v>
      </x:c>
      <x:c r="C25" s="86" t="n">
        <x:v>0</x:v>
      </x:c>
      <x:c r="D25" s="86" t="n">
        <x:f>SUMIFS('08_Journal_Voucher'!$G$5:$G$44,'08_Journal_Voucher'!$E$5:$E$44,A25)</x:f>
        <x:v>25</x:v>
      </x:c>
      <x:c r="E25" s="86" t="n">
        <x:f>SUMIFS('08_Journal_Voucher'!$H$5:$H$44,'08_Journal_Voucher'!$E$5:$E$44,A25)</x:f>
        <x:v>0</x:v>
      </x:c>
      <x:c r="F25" s="86" t="n">
        <x:f>MAX(C25+D25-E25,0)</x:f>
        <x:v>25</x:v>
      </x:c>
      <x:c r="G25" s="86" t="n">
        <x:f>MAX(E25-C25-D25,0)</x:f>
        <x:v>0</x:v>
      </x:c>
      <x:c r="H25" s="20" t="str"/>
    </x:row>
    <x:row r="26">
      <x:c r="C26" s="36"/>
      <x:c r="D26" s="36"/>
      <x:c r="E26" s="36"/>
      <x:c r="F26" s="36"/>
      <x:c r="G26" s="36"/>
    </x:row>
    <x:row r="27">
      <x:c r="C27" s="36" t="str">
        <x:v>TOTAL</x:v>
      </x:c>
      <x:c r="D27" s="36" t="n">
        <x:f>SUM(D5:D25)</x:f>
        <x:v>127481.67</x:v>
      </x:c>
      <x:c r="E27" s="36" t="n">
        <x:f>SUM(E5:E25)</x:f>
        <x:v>127481.67</x:v>
      </x:c>
      <x:c r="F27" s="36" t="n">
        <x:f>SUM(F5:F25)</x:f>
        <x:v>65871.67</x:v>
      </x:c>
      <x:c r="G27" s="36" t="n">
        <x:f>SUM(G5:G25)</x:f>
        <x:v>65871.67</x:v>
      </x:c>
      <x:c r="H27" t="str">
        <x:f>IF(ROUND(F27-G27,2)=0,"Balanced","Check")</x:f>
        <x:v>Balanced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266236a725049c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24" hidden="0" customWidth="1"/>
    <x:col min="5" max="5" width="15" hidden="0" customWidth="1"/>
    <x:col min="6" max="6" width="32" hidden="0" customWidth="1"/>
    <x:col min="7" max="7" width="38" hidden="0" customWidth="1"/>
    <x:col min="8" max="8" width="28" hidden="0" customWidth="1"/>
    <x:col min="9" max="9" width="12" hidden="0" customWidth="1"/>
    <x:col min="10" max="10" width="14" hidden="0" customWidth="1"/>
  </x:cols>
  <x:sheetData>
    <x:row r="1" ht="28" customHeight="1">
      <x:c r="A1" s="100" t="str">
        <x:v>Next Session Checklist — Bring Forward to February 2025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Generated from Open Items, AR/AP listings, timing items, and reversing adjustments.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4" ht="24" customHeight="1">
      <x:c r="A4" s="92" t="str">
        <x:v>Priority</x:v>
      </x:c>
      <x:c r="B4" s="92" t="str">
        <x:v>Category</x:v>
      </x:c>
      <x:c r="C4" s="92" t="str">
        <x:v>Source Ref</x:v>
      </x:c>
      <x:c r="D4" s="92" t="str">
        <x:v>Counterparty</x:v>
      </x:c>
      <x:c r="E4" s="92" t="str">
        <x:v>Amount</x:v>
      </x:c>
      <x:c r="F4" s="92" t="str">
        <x:v>Why carried forward</x:v>
      </x:c>
      <x:c r="G4" s="92" t="str">
        <x:v>What BK should do next month</x:v>
      </x:c>
      <x:c r="H4" s="92" t="str">
        <x:v>Expected Clearing</x:v>
      </x:c>
      <x:c r="I4" s="92" t="str">
        <x:v>Owner</x:v>
      </x:c>
      <x:c r="J4" s="92" t="str">
        <x:v>Status</x:v>
      </x:c>
    </x:row>
    <x:row r="5">
      <x:c r="A5" t="str">
        <x:v>High</x:v>
      </x:c>
      <x:c r="B5" t="str">
        <x:v>AR open invoice</x:v>
      </x:c>
      <x:c r="C5" t="str">
        <x:v>INV-2025-001</x:v>
      </x:c>
      <x:c r="D5" t="str">
        <x:v>Maya Food Supply</x:v>
      </x:c>
      <x:c r="E5" s="36" t="n">
        <x:v>12500</x:v>
      </x:c>
      <x:c r="F5" t="str">
        <x:v>Customer invoice unpaid at Jan close</x:v>
      </x:c>
      <x:c r="G5" t="str">
        <x:v>Check February bank for receipt or follow-up note</x:v>
      </x:c>
      <x:c r="H5" t="str">
        <x:v>Feb bank receipt / aging remains open</x:v>
      </x:c>
      <x:c r="I5" t="str">
        <x:v>BK</x:v>
      </x:c>
      <x:c r="J5" t="str">
        <x:v>Open</x:v>
      </x:c>
    </x:row>
    <x:row r="6">
      <x:c r="A6" t="str">
        <x:v>High</x:v>
      </x:c>
      <x:c r="B6" t="str">
        <x:v>AR partial invoice</x:v>
      </x:c>
      <x:c r="C6" t="str">
        <x:v>INV-2025-003</x:v>
      </x:c>
      <x:c r="D6" t="str">
        <x:v>Bright Retail Sdn Bhd</x:v>
      </x:c>
      <x:c r="E6" s="36" t="n">
        <x:v>4160</x:v>
      </x:c>
      <x:c r="F6" t="str">
        <x:v>Only RM 10,000 received in January</x:v>
      </x:c>
      <x:c r="G6" t="str">
        <x:v>Match remaining receipt or flag as still outstanding</x:v>
      </x:c>
      <x:c r="H6" t="str">
        <x:v>Feb bank receipt / AR still open</x:v>
      </x:c>
      <x:c r="I6" t="str">
        <x:v>BK</x:v>
      </x:c>
      <x:c r="J6" t="str">
        <x:v>Open</x:v>
      </x:c>
    </x:row>
    <x:row r="7">
      <x:c r="A7" t="str">
        <x:v>Medium</x:v>
      </x:c>
      <x:c r="B7" t="str">
        <x:v>AP open bill</x:v>
      </x:c>
      <x:c r="C7" t="str">
        <x:v>INV-MB-221</x:v>
      </x:c>
      <x:c r="D7" t="str">
        <x:v>MetroBiz Supplies</x:v>
      </x:c>
      <x:c r="E7" s="36" t="n">
        <x:v>950</x:v>
      </x:c>
      <x:c r="F7" t="str">
        <x:v>Cheque issued but not presented by Jan close</x:v>
      </x:c>
      <x:c r="G7" t="str">
        <x:v>Check if cheque clears in February bank</x:v>
      </x:c>
      <x:c r="H7" t="str">
        <x:v>Cheque clears / AP paid</x:v>
      </x:c>
      <x:c r="I7" t="str">
        <x:v>BK</x:v>
      </x:c>
      <x:c r="J7" t="str">
        <x:v>Open</x:v>
      </x:c>
    </x:row>
    <x:row r="8">
      <x:c r="A8" t="str">
        <x:v>Medium</x:v>
      </x:c>
      <x:c r="B8" t="str">
        <x:v>Payroll statutory</x:v>
      </x:c>
      <x:c r="C8" t="str">
        <x:v>PAY-JAN25</x:v>
      </x:c>
      <x:c r="D8" t="str">
        <x:v>EPF/SOCSO/EIS/PCB</x:v>
      </x:c>
      <x:c r="E8" s="36" t="n">
        <x:v>3390</x:v>
      </x:c>
      <x:c r="F8" t="str">
        <x:v>Statutory liabilities remain payable</x:v>
      </x:c>
      <x:c r="G8" t="str">
        <x:v>Verify statutory payments in February</x:v>
      </x:c>
      <x:c r="H8" t="str">
        <x:v>Payment matched to liabilities</x:v>
      </x:c>
      <x:c r="I8" t="str">
        <x:v>BK</x:v>
      </x:c>
      <x:c r="J8" t="str">
        <x:v>Open</x:v>
      </x:c>
    </x:row>
    <x:row r="9">
      <x:c r="A9" t="str">
        <x:v>Low</x:v>
      </x:c>
      <x:c r="B9" t="str">
        <x:v>Reversal</x:v>
      </x:c>
      <x:c r="C9" t="str">
        <x:v>A002</x:v>
      </x:c>
      <x:c r="D9" t="str">
        <x:v>Utilities Accrual</x:v>
      </x:c>
      <x:c r="E9" s="36" t="n">
        <x:v>420</x:v>
      </x:c>
      <x:c r="F9" t="str">
        <x:v>January utilities accrued manually</x:v>
      </x:c>
      <x:c r="G9" t="str">
        <x:v>Reverse first before February utility bill is posted</x:v>
      </x:c>
      <x:c r="H9" t="str">
        <x:v>Reversal posted at start of Feb session</x:v>
      </x:c>
      <x:c r="I9" t="str">
        <x:v>BK</x:v>
      </x:c>
      <x:c r="J9" t="str">
        <x:v>Open</x:v>
      </x:c>
    </x:row>
  </x:sheetData>
  <x:mergeCells>
    <x:mergeCell ref="A1:J1"/>
  </x:mergeCells>
  <x:conditionalFormatting sqref="A5:A100">
    <x:cfRule type="expression" dxfId="14" priority="1">
      <x:formula>$A5="High"</x:formula>
    </x:cfRule>
    <x:cfRule type="expression" dxfId="15" priority="2">
      <x:formula>$A5="Medium"</x:formula>
    </x:cfRule>
    <x:cfRule type="expression" dxfId="16" priority="3">
      <x:formula>$A5="Low"</x:formula>
    </x:cfRule>
  </x:conditionalFormatting>
  <x:dataValidations count="2">
    <x:dataValidation type="list" sqref="J5:J100">
      <x:formula1>"Open,Cleared,Query,No action needed"</x:formula1>
    </x:dataValidation>
    <x:dataValidation type="list" sqref="A5:A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bacf35c417462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26" hidden="0" customWidth="1"/>
  </x:cols>
  <x:sheetData>
    <x:row r="1" ht="28" customHeight="1">
      <x:c r="A1" s="100" t="str">
        <x:v>Persistent Tab — Depreciation Schedule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This tab carries forward between sessions. New assets capitalised in WP1 are added here.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4" ht="24" customHeight="1">
      <x:c r="A4" s="92" t="str">
        <x:v>Asset ID</x:v>
      </x:c>
      <x:c r="B4" s="92" t="str">
        <x:v>Purchase Ref</x:v>
      </x:c>
      <x:c r="C4" s="92" t="str">
        <x:v>Asset Description</x:v>
      </x:c>
      <x:c r="D4" s="92" t="str">
        <x:v>Purchase Date</x:v>
      </x:c>
      <x:c r="E4" s="92" t="str">
        <x:v>Cost</x:v>
      </x:c>
      <x:c r="F4" s="92" t="str">
        <x:v>Useful Life (Months)</x:v>
      </x:c>
      <x:c r="G4" s="92" t="str">
        <x:v>Monthly Depreciation</x:v>
      </x:c>
      <x:c r="H4" s="92" t="str">
        <x:v>Accum Depn to Date</x:v>
      </x:c>
      <x:c r="I4" s="92" t="str">
        <x:v>NBV</x:v>
      </x:c>
      <x:c r="J4" s="92" t="str">
        <x:v>Next Month Action</x:v>
      </x:c>
    </x:row>
    <x:row r="5">
      <x:c r="A5" t="str">
        <x:v>FA-001</x:v>
      </x:c>
      <x:c r="B5" t="str">
        <x:v>FA-AC-003</x:v>
      </x:c>
      <x:c r="C5" t="str">
        <x:v>Commercial air-conditioning unit</x:v>
      </x:c>
      <x:c r="D5" s="32" t="n">
        <x:v>45679</x:v>
      </x:c>
      <x:c r="E5" s="36" t="n">
        <x:v>9500</x:v>
      </x:c>
      <x:c r="F5" t="n">
        <x:v>30</x:v>
      </x:c>
      <x:c r="G5" s="36" t="n">
        <x:f>E5/F5</x:f>
        <x:v>316.6666666666667</x:v>
      </x:c>
      <x:c r="H5" s="36" t="n">
        <x:f>G5</x:f>
        <x:v>316.6666666666667</x:v>
      </x:c>
      <x:c r="I5" s="36" t="n">
        <x:f>E5-H5</x:f>
        <x:v>9183.333333333334</x:v>
      </x:c>
      <x:c r="J5" t="str">
        <x:v>Post monthly depreciation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8965d5275c5c443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6" hidden="0" customWidth="1"/>
    <x:col min="10" max="10" width="28" hidden="0" customWidth="1"/>
  </x:cols>
  <x:sheetData>
    <x:row r="1" ht="28" customHeight="1">
      <x:c r="A1" s="100" t="str">
        <x:v>Persistent Tab — Prepaid Schedule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1"/>
      <x:c r="L1" s="101"/>
      <x:c r="M1" s="101"/>
      <x:c r="N1" s="101"/>
      <x:c r="O1" s="101"/>
      <x:c r="P1" s="101"/>
      <x:c r="Q1" s="101"/>
      <x:c r="R1" s="101"/>
      <x:c r="S1" s="101"/>
      <x:c r="T1" s="101"/>
      <x:c r="U1" s="101"/>
      <x:c r="V1" s="101"/>
      <x:c r="W1" s="101"/>
      <x:c r="X1" s="101"/>
      <x:c r="Y1" s="101"/>
      <x:c r="Z1" s="101"/>
    </x:row>
    <x:row r="2">
      <x:c r="A2" t="str">
        <x:v>This tab carries forward between sessions. Prepayment splits in WP1 populate the schedule.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4" ht="24" customHeight="1">
      <x:c r="A4" s="92" t="str">
        <x:v>Prepaid ID</x:v>
      </x:c>
      <x:c r="B4" s="92" t="str">
        <x:v>Purchase Ref</x:v>
      </x:c>
      <x:c r="C4" s="92" t="str">
        <x:v>Description</x:v>
      </x:c>
      <x:c r="D4" s="92" t="str">
        <x:v>Start Month</x:v>
      </x:c>
      <x:c r="E4" s="92" t="str">
        <x:v>End Month</x:v>
      </x:c>
      <x:c r="F4" s="92" t="str">
        <x:v>Total Amount</x:v>
      </x:c>
      <x:c r="G4" s="92" t="str">
        <x:v>Expense This Month</x:v>
      </x:c>
      <x:c r="H4" s="92" t="str">
        <x:v>Prepaid Balance</x:v>
      </x:c>
      <x:c r="I4" s="92" t="str">
        <x:v>Months Remaining</x:v>
      </x:c>
      <x:c r="J4" s="92" t="str">
        <x:v>Next Month Action</x:v>
      </x:c>
    </x:row>
    <x:row r="5">
      <x:c r="A5" t="str">
        <x:v>PRE-001</x:v>
      </x:c>
      <x:c r="B5" t="str">
        <x:v>POL-889</x:v>
      </x:c>
      <x:c r="C5" t="str">
        <x:v>12-month insurance policy</x:v>
      </x:c>
      <x:c r="D5" s="98" t="n">
        <x:v>45658</x:v>
      </x:c>
      <x:c r="E5" s="98" t="n">
        <x:v>46022</x:v>
      </x:c>
      <x:c r="F5" s="36" t="n">
        <x:v>12000</x:v>
      </x:c>
      <x:c r="G5" s="36" t="n">
        <x:f>F5/12</x:f>
        <x:v>1000</x:v>
      </x:c>
      <x:c r="H5" s="36" t="n">
        <x:f>F5-G5</x:f>
        <x:v>11000</x:v>
      </x:c>
      <x:c r="I5" t="n">
        <x:f>11</x:f>
        <x:v>11</x:v>
      </x:c>
      <x:c r="J5" t="str">
        <x:v>Release RM 1,000 to expense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c3e8c5306bf4d8d"/>
  </x:tableParts>
</x:worksheet>
</file>